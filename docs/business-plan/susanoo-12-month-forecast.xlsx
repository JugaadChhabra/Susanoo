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12-month forecast summary" sheetId="1" r:id="rId1"/>
    <sheet name="Monthly revenue cost and runway" sheetId="2" r:id="rId2"/>
    <sheet name="Customers revenue and run costs" sheetId="3" r:id="rId3"/>
    <sheet name="Monthly headcount and payroll" sheetId="4" r:id="rId4"/>
    <sheet name="Model inputs" sheetId="5" r:id="rId5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&quot;$&quot;#,##0.00;(&quot;$&quot;#,##0.00)"/>
    <numFmt numFmtId="165" formatCode="0.0%"/>
    <numFmt numFmtId="166" formatCode="#,##0.0;(#,##0.0)"/>
    <numFmt numFmtId="167" formatCode="#,##0.###;(#,##0.###)"/>
    <numFmt numFmtId="168" formatCode="yyyy-mm-dd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 indent="1"/>
    </xf>
    <xf numFmtId="167" fontId="0" fillId="0" borderId="0" xfId="0" applyNumberFormat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68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C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12-month forecast summary</t>
        </is>
      </c>
    </row>
    <row r="2" ht="20" customHeight="1">
      <c r="A2" t="inlineStr" s="2">
        <is>
          <t xml:space="preserve">Susanoo — 12-Month Forecast · Susanoo —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Susanoo — Growth</t>
        </is>
      </c>
    </row>
    <row r="5">
      <c r="A5" t="inlineStr" s="5">
        <is>
          <t xml:space="preserve">12-month revenue</t>
        </is>
      </c>
      <c r="B5" s="6">
        <f>SUM(IF(IF(IF(AND('Model inputs'!Q21&lt;=DATE(2026,11,1),DATE(2026,11,1)&lt;=EDATE('Model inputs'!Q21,'Model inputs'!Q18-1*1))="",FALSE,AND('Model inputs'!Q21&lt;=DATE(2026,11,1),DATE(2026,11,1)&lt;=EDATE('Model inputs'!Q21,'Model inputs'!Q18-1*1))),'Monthly revenue cost and runway'!B5,"")="",0,IF(IF(AND('Model inputs'!Q21&lt;=DATE(2026,11,1),DATE(2026,11,1)&lt;=EDATE('Model inputs'!Q21,'Model inputs'!Q18-1*1))="",FALSE,AND('Model inputs'!Q21&lt;=DATE(2026,11,1),DATE(2026,11,1)&lt;=EDATE('Model inputs'!Q21,'Model inputs'!Q18-1*1))),'Monthly revenue cost and runway'!B5,"")),IF(IF(IF(AND('Model inputs'!Q21&lt;=DATE(2026,12,1),DATE(2026,12,1)&lt;=EDATE('Model inputs'!Q21,'Model inputs'!Q18-1*1))="",FALSE,AND('Model inputs'!Q21&lt;=DATE(2026,12,1),DATE(2026,12,1)&lt;=EDATE('Model inputs'!Q21,'Model inputs'!Q18-1*1))),'Monthly revenue cost and runway'!C5,"")="",0,IF(IF(AND('Model inputs'!Q21&lt;=DATE(2026,12,1),DATE(2026,12,1)&lt;=EDATE('Model inputs'!Q21,'Model inputs'!Q18-1*1))="",FALSE,AND('Model inputs'!Q21&lt;=DATE(2026,12,1),DATE(2026,12,1)&lt;=EDATE('Model inputs'!Q21,'Model inputs'!Q18-1*1))),'Monthly revenue cost and runway'!C5,"")),IF(IF(IF(AND('Model inputs'!Q21&lt;=DATE(2027,1,1),DATE(2027,1,1)&lt;=EDATE('Model inputs'!Q21,'Model inputs'!Q18-1*1))="",FALSE,AND('Model inputs'!Q21&lt;=DATE(2027,1,1),DATE(2027,1,1)&lt;=EDATE('Model inputs'!Q21,'Model inputs'!Q18-1*1))),'Monthly revenue cost and runway'!D5,"")="",0,IF(IF(AND('Model inputs'!Q21&lt;=DATE(2027,1,1),DATE(2027,1,1)&lt;=EDATE('Model inputs'!Q21,'Model inputs'!Q18-1*1))="",FALSE,AND('Model inputs'!Q21&lt;=DATE(2027,1,1),DATE(2027,1,1)&lt;=EDATE('Model inputs'!Q21,'Model inputs'!Q18-1*1))),'Monthly revenue cost and runway'!D5,"")),IF(IF(IF(AND('Model inputs'!Q21&lt;=DATE(2027,2,1),DATE(2027,2,1)&lt;=EDATE('Model inputs'!Q21,'Model inputs'!Q18-1*1))="",FALSE,AND('Model inputs'!Q21&lt;=DATE(2027,2,1),DATE(2027,2,1)&lt;=EDATE('Model inputs'!Q21,'Model inputs'!Q18-1*1))),'Monthly revenue cost and runway'!E5,"")="",0,IF(IF(AND('Model inputs'!Q21&lt;=DATE(2027,2,1),DATE(2027,2,1)&lt;=EDATE('Model inputs'!Q21,'Model inputs'!Q18-1*1))="",FALSE,AND('Model inputs'!Q21&lt;=DATE(2027,2,1),DATE(2027,2,1)&lt;=EDATE('Model inputs'!Q21,'Model inputs'!Q18-1*1))),'Monthly revenue cost and runway'!E5,"")),IF(IF(IF(AND('Model inputs'!Q21&lt;=DATE(2027,3,1),DATE(2027,3,1)&lt;=EDATE('Model inputs'!Q21,'Model inputs'!Q18-1*1))="",FALSE,AND('Model inputs'!Q21&lt;=DATE(2027,3,1),DATE(2027,3,1)&lt;=EDATE('Model inputs'!Q21,'Model inputs'!Q18-1*1))),'Monthly revenue cost and runway'!F5,"")="",0,IF(IF(AND('Model inputs'!Q21&lt;=DATE(2027,3,1),DATE(2027,3,1)&lt;=EDATE('Model inputs'!Q21,'Model inputs'!Q18-1*1))="",FALSE,AND('Model inputs'!Q21&lt;=DATE(2027,3,1),DATE(2027,3,1)&lt;=EDATE('Model inputs'!Q21,'Model inputs'!Q18-1*1))),'Monthly revenue cost and runway'!F5,"")),IF(IF(IF(AND('Model inputs'!Q21&lt;=DATE(2027,4,1),DATE(2027,4,1)&lt;=EDATE('Model inputs'!Q21,'Model inputs'!Q18-1*1))="",FALSE,AND('Model inputs'!Q21&lt;=DATE(2027,4,1),DATE(2027,4,1)&lt;=EDATE('Model inputs'!Q21,'Model inputs'!Q18-1*1))),'Monthly revenue cost and runway'!G5,"")="",0,IF(IF(AND('Model inputs'!Q21&lt;=DATE(2027,4,1),DATE(2027,4,1)&lt;=EDATE('Model inputs'!Q21,'Model inputs'!Q18-1*1))="",FALSE,AND('Model inputs'!Q21&lt;=DATE(2027,4,1),DATE(2027,4,1)&lt;=EDATE('Model inputs'!Q21,'Model inputs'!Q18-1*1))),'Monthly revenue cost and runway'!G5,"")),IF(IF(IF(AND('Model inputs'!Q21&lt;=DATE(2027,5,1),DATE(2027,5,1)&lt;=EDATE('Model inputs'!Q21,'Model inputs'!Q18-1*1))="",FALSE,AND('Model inputs'!Q21&lt;=DATE(2027,5,1),DATE(2027,5,1)&lt;=EDATE('Model inputs'!Q21,'Model inputs'!Q18-1*1))),'Monthly revenue cost and runway'!H5,"")="",0,IF(IF(AND('Model inputs'!Q21&lt;=DATE(2027,5,1),DATE(2027,5,1)&lt;=EDATE('Model inputs'!Q21,'Model inputs'!Q18-1*1))="",FALSE,AND('Model inputs'!Q21&lt;=DATE(2027,5,1),DATE(2027,5,1)&lt;=EDATE('Model inputs'!Q21,'Model inputs'!Q18-1*1))),'Monthly revenue cost and runway'!H5,"")),IF(IF(IF(AND('Model inputs'!Q21&lt;=DATE(2027,6,1),DATE(2027,6,1)&lt;=EDATE('Model inputs'!Q21,'Model inputs'!Q18-1*1))="",FALSE,AND('Model inputs'!Q21&lt;=DATE(2027,6,1),DATE(2027,6,1)&lt;=EDATE('Model inputs'!Q21,'Model inputs'!Q18-1*1))),'Monthly revenue cost and runway'!I5,"")="",0,IF(IF(AND('Model inputs'!Q21&lt;=DATE(2027,6,1),DATE(2027,6,1)&lt;=EDATE('Model inputs'!Q21,'Model inputs'!Q18-1*1))="",FALSE,AND('Model inputs'!Q21&lt;=DATE(2027,6,1),DATE(2027,6,1)&lt;=EDATE('Model inputs'!Q21,'Model inputs'!Q18-1*1))),'Monthly revenue cost and runway'!I5,"")),IF(IF(IF(AND('Model inputs'!Q21&lt;=DATE(2027,7,1),DATE(2027,7,1)&lt;=EDATE('Model inputs'!Q21,'Model inputs'!Q18-1*1))="",FALSE,AND('Model inputs'!Q21&lt;=DATE(2027,7,1),DATE(2027,7,1)&lt;=EDATE('Model inputs'!Q21,'Model inputs'!Q18-1*1))),'Monthly revenue cost and runway'!J5,"")="",0,IF(IF(AND('Model inputs'!Q21&lt;=DATE(2027,7,1),DATE(2027,7,1)&lt;=EDATE('Model inputs'!Q21,'Model inputs'!Q18-1*1))="",FALSE,AND('Model inputs'!Q21&lt;=DATE(2027,7,1),DATE(2027,7,1)&lt;=EDATE('Model inputs'!Q21,'Model inputs'!Q18-1*1))),'Monthly revenue cost and runway'!J5,"")),IF(IF(IF(AND('Model inputs'!Q21&lt;=DATE(2027,8,1),DATE(2027,8,1)&lt;=EDATE('Model inputs'!Q21,'Model inputs'!Q18-1*1))="",FALSE,AND('Model inputs'!Q21&lt;=DATE(2027,8,1),DATE(2027,8,1)&lt;=EDATE('Model inputs'!Q21,'Model inputs'!Q18-1*1))),'Monthly revenue cost and runway'!K5,"")="",0,IF(IF(AND('Model inputs'!Q21&lt;=DATE(2027,8,1),DATE(2027,8,1)&lt;=EDATE('Model inputs'!Q21,'Model inputs'!Q18-1*1))="",FALSE,AND('Model inputs'!Q21&lt;=DATE(2027,8,1),DATE(2027,8,1)&lt;=EDATE('Model inputs'!Q21,'Model inputs'!Q18-1*1))),'Monthly revenue cost and runway'!K5,"")),IF(IF(IF(AND('Model inputs'!Q21&lt;=DATE(2027,9,1),DATE(2027,9,1)&lt;=EDATE('Model inputs'!Q21,'Model inputs'!Q18-1*1))="",FALSE,AND('Model inputs'!Q21&lt;=DATE(2027,9,1),DATE(2027,9,1)&lt;=EDATE('Model inputs'!Q21,'Model inputs'!Q18-1*1))),'Monthly revenue cost and runway'!L5,"")="",0,IF(IF(AND('Model inputs'!Q21&lt;=DATE(2027,9,1),DATE(2027,9,1)&lt;=EDATE('Model inputs'!Q21,'Model inputs'!Q18-1*1))="",FALSE,AND('Model inputs'!Q21&lt;=DATE(2027,9,1),DATE(2027,9,1)&lt;=EDATE('Model inputs'!Q21,'Model inputs'!Q18-1*1))),'Monthly revenue cost and runway'!L5,"")),IF(IF(IF(AND('Model inputs'!Q21&lt;=DATE(2027,10,1),DATE(2027,10,1)&lt;=EDATE('Model inputs'!Q21,'Model inputs'!Q18-1*1))="",FALSE,AND('Model inputs'!Q21&lt;=DATE(2027,10,1),DATE(2027,10,1)&lt;=EDATE('Model inputs'!Q21,'Model inputs'!Q18-1*1))),'Monthly revenue cost and runway'!M5,"")="",0,IF(IF(AND('Model inputs'!Q21&lt;=DATE(2027,10,1),DATE(2027,10,1)&lt;=EDATE('Model inputs'!Q21,'Model inputs'!Q18-1*1))="",FALSE,AND('Model inputs'!Q21&lt;=DATE(2027,10,1),DATE(2027,10,1)&lt;=EDATE('Model inputs'!Q21,'Model inputs'!Q18-1*1))),'Monthly revenue cost and runway'!M5,"")),IF(IF(IF(AND('Model inputs'!Q21&lt;=DATE(2026,9,1),DATE(2026,9,1)&lt;=EDATE('Model inputs'!Q21,'Model inputs'!Q18-1*1))="",FALSE,AND('Model inputs'!Q21&lt;=DATE(2026,9,1),DATE(2026,9,1)&lt;=EDATE('Model inputs'!Q21,'Model inputs'!Q18-1*1))),'Model inputs'!C24,"")="",0,IF(IF(AND('Model inputs'!Q21&lt;=DATE(2026,9,1),DATE(2026,9,1)&lt;=EDATE('Model inputs'!Q21,'Model inputs'!Q18-1*1))="",FALSE,AND('Model inputs'!Q21&lt;=DATE(2026,9,1),DATE(2026,9,1)&lt;=EDATE('Model inputs'!Q21,'Model inputs'!Q18-1*1))),'Model inputs'!C24,"")),IF(IF(IF(AND('Model inputs'!Q21&lt;=DATE(2026,10,1),DATE(2026,10,1)&lt;=EDATE('Model inputs'!Q21,'Model inputs'!Q18-1*1))="",FALSE,AND('Model inputs'!Q21&lt;=DATE(2026,10,1),DATE(2026,10,1)&lt;=EDATE('Model inputs'!Q21,'Model inputs'!Q18-1*1))),'Model inputs'!D24,"")="",0,IF(IF(AND('Model inputs'!Q21&lt;=DATE(2026,10,1),DATE(2026,10,1)&lt;=EDATE('Model inputs'!Q21,'Model inputs'!Q18-1*1))="",FALSE,AND('Model inputs'!Q21&lt;=DATE(2026,10,1),DATE(2026,10,1)&lt;=EDATE('Model inputs'!Q21,'Model inputs'!Q18-1*1))),'Model inputs'!D24,"")))</f>
        <v>25908</v>
      </c>
      <c r="C5" s="6">
        <f>SUM(IF(IF(IF(AND('Model inputs'!Q23&lt;=DATE(2026,10,1),DATE(2026,10,1)&lt;=EDATE('Model inputs'!Q23,'Model inputs'!Q20-1*1))="",FALSE,AND('Model inputs'!Q23&lt;=DATE(2026,10,1),DATE(2026,10,1)&lt;=EDATE('Model inputs'!Q23,'Model inputs'!Q20-1*1))),'Model inputs'!D29,"")="",0,IF(IF(AND('Model inputs'!Q23&lt;=DATE(2026,10,1),DATE(2026,10,1)&lt;=EDATE('Model inputs'!Q23,'Model inputs'!Q20-1*1))="",FALSE,AND('Model inputs'!Q23&lt;=DATE(2026,10,1),DATE(2026,10,1)&lt;=EDATE('Model inputs'!Q23,'Model inputs'!Q20-1*1))),'Model inputs'!D29,"")),IF(IF(IF(AND('Model inputs'!Q23&lt;=DATE(2026,11,1),DATE(2026,11,1)&lt;=EDATE('Model inputs'!Q23,'Model inputs'!Q20-1*1))="",FALSE,AND('Model inputs'!Q23&lt;=DATE(2026,11,1),DATE(2026,11,1)&lt;=EDATE('Model inputs'!Q23,'Model inputs'!Q20-1*1))),'Model inputs'!E29,"")="",0,IF(IF(AND('Model inputs'!Q23&lt;=DATE(2026,11,1),DATE(2026,11,1)&lt;=EDATE('Model inputs'!Q23,'Model inputs'!Q20-1*1))="",FALSE,AND('Model inputs'!Q23&lt;=DATE(2026,11,1),DATE(2026,11,1)&lt;=EDATE('Model inputs'!Q23,'Model inputs'!Q20-1*1))),'Model inputs'!E29,"")),IF(IF(IF(AND('Model inputs'!Q23&lt;=DATE(2026,12,1),DATE(2026,12,1)&lt;=EDATE('Model inputs'!Q23,'Model inputs'!Q20-1*1))="",FALSE,AND('Model inputs'!Q23&lt;=DATE(2026,12,1),DATE(2026,12,1)&lt;=EDATE('Model inputs'!Q23,'Model inputs'!Q20-1*1))),'Model inputs'!F29,"")="",0,IF(IF(AND('Model inputs'!Q23&lt;=DATE(2026,12,1),DATE(2026,12,1)&lt;=EDATE('Model inputs'!Q23,'Model inputs'!Q20-1*1))="",FALSE,AND('Model inputs'!Q23&lt;=DATE(2026,12,1),DATE(2026,12,1)&lt;=EDATE('Model inputs'!Q23,'Model inputs'!Q20-1*1))),'Model inputs'!F29,"")),IF(IF(IF(AND('Model inputs'!Q23&lt;=DATE(2027,1,1),DATE(2027,1,1)&lt;=EDATE('Model inputs'!Q23,'Model inputs'!Q20-1*1))="",FALSE,AND('Model inputs'!Q23&lt;=DATE(2027,1,1),DATE(2027,1,1)&lt;=EDATE('Model inputs'!Q23,'Model inputs'!Q20-1*1))),'Model inputs'!G29,"")="",0,IF(IF(AND('Model inputs'!Q23&lt;=DATE(2027,1,1),DATE(2027,1,1)&lt;=EDATE('Model inputs'!Q23,'Model inputs'!Q20-1*1))="",FALSE,AND('Model inputs'!Q23&lt;=DATE(2027,1,1),DATE(2027,1,1)&lt;=EDATE('Model inputs'!Q23,'Model inputs'!Q20-1*1))),'Model inputs'!G29,"")),IF(IF(IF(AND('Model inputs'!Q23&lt;=DATE(2027,2,1),DATE(2027,2,1)&lt;=EDATE('Model inputs'!Q23,'Model inputs'!Q20-1*1))="",FALSE,AND('Model inputs'!Q23&lt;=DATE(2027,2,1),DATE(2027,2,1)&lt;=EDATE('Model inputs'!Q23,'Model inputs'!Q20-1*1))),'Model inputs'!H29,"")="",0,IF(IF(AND('Model inputs'!Q23&lt;=DATE(2027,2,1),DATE(2027,2,1)&lt;=EDATE('Model inputs'!Q23,'Model inputs'!Q20-1*1))="",FALSE,AND('Model inputs'!Q23&lt;=DATE(2027,2,1),DATE(2027,2,1)&lt;=EDATE('Model inputs'!Q23,'Model inputs'!Q20-1*1))),'Model inputs'!H29,"")),IF(IF(IF(AND('Model inputs'!Q23&lt;=DATE(2027,3,1),DATE(2027,3,1)&lt;=EDATE('Model inputs'!Q23,'Model inputs'!Q20-1*1))="",FALSE,AND('Model inputs'!Q23&lt;=DATE(2027,3,1),DATE(2027,3,1)&lt;=EDATE('Model inputs'!Q23,'Model inputs'!Q20-1*1))),'Model inputs'!I29,"")="",0,IF(IF(AND('Model inputs'!Q23&lt;=DATE(2027,3,1),DATE(2027,3,1)&lt;=EDATE('Model inputs'!Q23,'Model inputs'!Q20-1*1))="",FALSE,AND('Model inputs'!Q23&lt;=DATE(2027,3,1),DATE(2027,3,1)&lt;=EDATE('Model inputs'!Q23,'Model inputs'!Q20-1*1))),'Model inputs'!I29,"")),IF(IF(IF(AND('Model inputs'!Q23&lt;=DATE(2027,4,1),DATE(2027,4,1)&lt;=EDATE('Model inputs'!Q23,'Model inputs'!Q20-1*1))="",FALSE,AND('Model inputs'!Q23&lt;=DATE(2027,4,1),DATE(2027,4,1)&lt;=EDATE('Model inputs'!Q23,'Model inputs'!Q20-1*1))),'Model inputs'!J29,"")="",0,IF(IF(AND('Model inputs'!Q23&lt;=DATE(2027,4,1),DATE(2027,4,1)&lt;=EDATE('Model inputs'!Q23,'Model inputs'!Q20-1*1))="",FALSE,AND('Model inputs'!Q23&lt;=DATE(2027,4,1),DATE(2027,4,1)&lt;=EDATE('Model inputs'!Q23,'Model inputs'!Q20-1*1))),'Model inputs'!J29,"")),IF(IF(IF(AND('Model inputs'!Q23&lt;=DATE(2027,5,1),DATE(2027,5,1)&lt;=EDATE('Model inputs'!Q23,'Model inputs'!Q20-1*1))="",FALSE,AND('Model inputs'!Q23&lt;=DATE(2027,5,1),DATE(2027,5,1)&lt;=EDATE('Model inputs'!Q23,'Model inputs'!Q20-1*1))),'Model inputs'!K29,"")="",0,IF(IF(AND('Model inputs'!Q23&lt;=DATE(2027,5,1),DATE(2027,5,1)&lt;=EDATE('Model inputs'!Q23,'Model inputs'!Q20-1*1))="",FALSE,AND('Model inputs'!Q23&lt;=DATE(2027,5,1),DATE(2027,5,1)&lt;=EDATE('Model inputs'!Q23,'Model inputs'!Q20-1*1))),'Model inputs'!K29,"")),IF(IF(IF(AND('Model inputs'!Q23&lt;=DATE(2027,6,1),DATE(2027,6,1)&lt;=EDATE('Model inputs'!Q23,'Model inputs'!Q20-1*1))="",FALSE,AND('Model inputs'!Q23&lt;=DATE(2027,6,1),DATE(2027,6,1)&lt;=EDATE('Model inputs'!Q23,'Model inputs'!Q20-1*1))),'Model inputs'!L29,"")="",0,IF(IF(AND('Model inputs'!Q23&lt;=DATE(2027,6,1),DATE(2027,6,1)&lt;=EDATE('Model inputs'!Q23,'Model inputs'!Q20-1*1))="",FALSE,AND('Model inputs'!Q23&lt;=DATE(2027,6,1),DATE(2027,6,1)&lt;=EDATE('Model inputs'!Q23,'Model inputs'!Q20-1*1))),'Model inputs'!L29,"")),IF(IF(IF(AND('Model inputs'!Q23&lt;=DATE(2027,7,1),DATE(2027,7,1)&lt;=EDATE('Model inputs'!Q23,'Model inputs'!Q20-1*1))="",FALSE,AND('Model inputs'!Q23&lt;=DATE(2027,7,1),DATE(2027,7,1)&lt;=EDATE('Model inputs'!Q23,'Model inputs'!Q20-1*1))),'Model inputs'!M29,"")="",0,IF(IF(AND('Model inputs'!Q23&lt;=DATE(2027,7,1),DATE(2027,7,1)&lt;=EDATE('Model inputs'!Q23,'Model inputs'!Q20-1*1))="",FALSE,AND('Model inputs'!Q23&lt;=DATE(2027,7,1),DATE(2027,7,1)&lt;=EDATE('Model inputs'!Q23,'Model inputs'!Q20-1*1))),'Model inputs'!M29,"")),IF(IF(IF(AND('Model inputs'!Q23&lt;=DATE(2027,8,1),DATE(2027,8,1)&lt;=EDATE('Model inputs'!Q23,'Model inputs'!Q20-1*1))="",FALSE,AND('Model inputs'!Q23&lt;=DATE(2027,8,1),DATE(2027,8,1)&lt;=EDATE('Model inputs'!Q23,'Model inputs'!Q20-1*1))),'Model inputs'!N29,"")="",0,IF(IF(AND('Model inputs'!Q23&lt;=DATE(2027,8,1),DATE(2027,8,1)&lt;=EDATE('Model inputs'!Q23,'Model inputs'!Q20-1*1))="",FALSE,AND('Model inputs'!Q23&lt;=DATE(2027,8,1),DATE(2027,8,1)&lt;=EDATE('Model inputs'!Q23,'Model inputs'!Q20-1*1))),'Model inputs'!N29,"")),IF(IF(IF(AND('Model inputs'!Q23&lt;=DATE(2027,9,1),DATE(2027,9,1)&lt;=EDATE('Model inputs'!Q23,'Model inputs'!Q20-1*1))="",FALSE,AND('Model inputs'!Q23&lt;=DATE(2027,9,1),DATE(2027,9,1)&lt;=EDATE('Model inputs'!Q23,'Model inputs'!Q20-1*1))),'Model inputs'!O29,"")="",0,IF(IF(AND('Model inputs'!Q23&lt;=DATE(2027,9,1),DATE(2027,9,1)&lt;=EDATE('Model inputs'!Q23,'Model inputs'!Q20-1*1))="",FALSE,AND('Model inputs'!Q23&lt;=DATE(2027,9,1),DATE(2027,9,1)&lt;=EDATE('Model inputs'!Q23,'Model inputs'!Q20-1*1))),'Model inputs'!O29,"")),IF(IF(IF(AND('Model inputs'!Q23&lt;=DATE(2027,10,1),DATE(2027,10,1)&lt;=EDATE('Model inputs'!Q23,'Model inputs'!Q20-1*1))="",FALSE,AND('Model inputs'!Q23&lt;=DATE(2027,10,1),DATE(2027,10,1)&lt;=EDATE('Model inputs'!Q23,'Model inputs'!Q20-1*1))),'Model inputs'!P29,"")="",0,IF(IF(AND('Model inputs'!Q23&lt;=DATE(2027,10,1),DATE(2027,10,1)&lt;=EDATE('Model inputs'!Q23,'Model inputs'!Q20-1*1))="",FALSE,AND('Model inputs'!Q23&lt;=DATE(2027,10,1),DATE(2027,10,1)&lt;=EDATE('Model inputs'!Q23,'Model inputs'!Q20-1*1))),'Model inputs'!P29,"")),IF(IF(IF(AND('Model inputs'!Q23&lt;=DATE(2026,9,1),DATE(2026,9,1)&lt;=EDATE('Model inputs'!Q23,'Model inputs'!Q20-1*1))="",FALSE,AND('Model inputs'!Q23&lt;=DATE(2026,9,1),DATE(2026,9,1)&lt;=EDATE('Model inputs'!Q23,'Model inputs'!Q20-1*1))),'Model inputs'!C104,"")="",0,IF(IF(AND('Model inputs'!Q23&lt;=DATE(2026,9,1),DATE(2026,9,1)&lt;=EDATE('Model inputs'!Q23,'Model inputs'!Q20-1*1))="",FALSE,AND('Model inputs'!Q23&lt;=DATE(2026,9,1),DATE(2026,9,1)&lt;=EDATE('Model inputs'!Q23,'Model inputs'!Q20-1*1))),'Model inputs'!C104,"")))</f>
        <v>97470</v>
      </c>
    </row>
    <row r="6">
      <c r="A6" t="inlineStr" s="7">
        <is>
          <t xml:space="preserve">12-month costs</t>
        </is>
      </c>
      <c r="B6" s="8">
        <f>SUM(IF(IF(IF(AND('Model inputs'!Q21&lt;=DATE(2026,11,1),DATE(2026,11,1)&lt;=EDATE('Model inputs'!Q21,'Model inputs'!Q18-1*1))="",FALSE,AND('Model inputs'!Q21&lt;=DATE(2026,11,1),DATE(2026,11,1)&lt;=EDATE('Model inputs'!Q21,'Model inputs'!Q18-1*1))),'Monthly revenue cost and runway'!B16,"")="",0,IF(IF(AND('Model inputs'!Q21&lt;=DATE(2026,11,1),DATE(2026,11,1)&lt;=EDATE('Model inputs'!Q21,'Model inputs'!Q18-1*1))="",FALSE,AND('Model inputs'!Q21&lt;=DATE(2026,11,1),DATE(2026,11,1)&lt;=EDATE('Model inputs'!Q21,'Model inputs'!Q18-1*1))),'Monthly revenue cost and runway'!B16,"")),IF(IF(IF(AND('Model inputs'!Q21&lt;=DATE(2026,12,1),DATE(2026,12,1)&lt;=EDATE('Model inputs'!Q21,'Model inputs'!Q18-1*1))="",FALSE,AND('Model inputs'!Q21&lt;=DATE(2026,12,1),DATE(2026,12,1)&lt;=EDATE('Model inputs'!Q21,'Model inputs'!Q18-1*1))),'Monthly revenue cost and runway'!C16,"")="",0,IF(IF(AND('Model inputs'!Q21&lt;=DATE(2026,12,1),DATE(2026,12,1)&lt;=EDATE('Model inputs'!Q21,'Model inputs'!Q18-1*1))="",FALSE,AND('Model inputs'!Q21&lt;=DATE(2026,12,1),DATE(2026,12,1)&lt;=EDATE('Model inputs'!Q21,'Model inputs'!Q18-1*1))),'Monthly revenue cost and runway'!C16,"")),IF(IF(IF(AND('Model inputs'!Q21&lt;=DATE(2027,1,1),DATE(2027,1,1)&lt;=EDATE('Model inputs'!Q21,'Model inputs'!Q18-1*1))="",FALSE,AND('Model inputs'!Q21&lt;=DATE(2027,1,1),DATE(2027,1,1)&lt;=EDATE('Model inputs'!Q21,'Model inputs'!Q18-1*1))),'Monthly revenue cost and runway'!D16,"")="",0,IF(IF(AND('Model inputs'!Q21&lt;=DATE(2027,1,1),DATE(2027,1,1)&lt;=EDATE('Model inputs'!Q21,'Model inputs'!Q18-1*1))="",FALSE,AND('Model inputs'!Q21&lt;=DATE(2027,1,1),DATE(2027,1,1)&lt;=EDATE('Model inputs'!Q21,'Model inputs'!Q18-1*1))),'Monthly revenue cost and runway'!D16,"")),IF(IF(IF(AND('Model inputs'!Q21&lt;=DATE(2027,2,1),DATE(2027,2,1)&lt;=EDATE('Model inputs'!Q21,'Model inputs'!Q18-1*1))="",FALSE,AND('Model inputs'!Q21&lt;=DATE(2027,2,1),DATE(2027,2,1)&lt;=EDATE('Model inputs'!Q21,'Model inputs'!Q18-1*1))),'Monthly revenue cost and runway'!E16,"")="",0,IF(IF(AND('Model inputs'!Q21&lt;=DATE(2027,2,1),DATE(2027,2,1)&lt;=EDATE('Model inputs'!Q21,'Model inputs'!Q18-1*1))="",FALSE,AND('Model inputs'!Q21&lt;=DATE(2027,2,1),DATE(2027,2,1)&lt;=EDATE('Model inputs'!Q21,'Model inputs'!Q18-1*1))),'Monthly revenue cost and runway'!E16,"")),IF(IF(IF(AND('Model inputs'!Q21&lt;=DATE(2027,3,1),DATE(2027,3,1)&lt;=EDATE('Model inputs'!Q21,'Model inputs'!Q18-1*1))="",FALSE,AND('Model inputs'!Q21&lt;=DATE(2027,3,1),DATE(2027,3,1)&lt;=EDATE('Model inputs'!Q21,'Model inputs'!Q18-1*1))),'Monthly revenue cost and runway'!F16,"")="",0,IF(IF(AND('Model inputs'!Q21&lt;=DATE(2027,3,1),DATE(2027,3,1)&lt;=EDATE('Model inputs'!Q21,'Model inputs'!Q18-1*1))="",FALSE,AND('Model inputs'!Q21&lt;=DATE(2027,3,1),DATE(2027,3,1)&lt;=EDATE('Model inputs'!Q21,'Model inputs'!Q18-1*1))),'Monthly revenue cost and runway'!F16,"")),IF(IF(IF(AND('Model inputs'!Q21&lt;=DATE(2027,4,1),DATE(2027,4,1)&lt;=EDATE('Model inputs'!Q21,'Model inputs'!Q18-1*1))="",FALSE,AND('Model inputs'!Q21&lt;=DATE(2027,4,1),DATE(2027,4,1)&lt;=EDATE('Model inputs'!Q21,'Model inputs'!Q18-1*1))),'Monthly revenue cost and runway'!G16,"")="",0,IF(IF(AND('Model inputs'!Q21&lt;=DATE(2027,4,1),DATE(2027,4,1)&lt;=EDATE('Model inputs'!Q21,'Model inputs'!Q18-1*1))="",FALSE,AND('Model inputs'!Q21&lt;=DATE(2027,4,1),DATE(2027,4,1)&lt;=EDATE('Model inputs'!Q21,'Model inputs'!Q18-1*1))),'Monthly revenue cost and runway'!G16,"")),IF(IF(IF(AND('Model inputs'!Q21&lt;=DATE(2027,5,1),DATE(2027,5,1)&lt;=EDATE('Model inputs'!Q21,'Model inputs'!Q18-1*1))="",FALSE,AND('Model inputs'!Q21&lt;=DATE(2027,5,1),DATE(2027,5,1)&lt;=EDATE('Model inputs'!Q21,'Model inputs'!Q18-1*1))),'Monthly revenue cost and runway'!H16,"")="",0,IF(IF(AND('Model inputs'!Q21&lt;=DATE(2027,5,1),DATE(2027,5,1)&lt;=EDATE('Model inputs'!Q21,'Model inputs'!Q18-1*1))="",FALSE,AND('Model inputs'!Q21&lt;=DATE(2027,5,1),DATE(2027,5,1)&lt;=EDATE('Model inputs'!Q21,'Model inputs'!Q18-1*1))),'Monthly revenue cost and runway'!H16,"")),IF(IF(IF(AND('Model inputs'!Q21&lt;=DATE(2027,6,1),DATE(2027,6,1)&lt;=EDATE('Model inputs'!Q21,'Model inputs'!Q18-1*1))="",FALSE,AND('Model inputs'!Q21&lt;=DATE(2027,6,1),DATE(2027,6,1)&lt;=EDATE('Model inputs'!Q21,'Model inputs'!Q18-1*1))),'Monthly revenue cost and runway'!I16,"")="",0,IF(IF(AND('Model inputs'!Q21&lt;=DATE(2027,6,1),DATE(2027,6,1)&lt;=EDATE('Model inputs'!Q21,'Model inputs'!Q18-1*1))="",FALSE,AND('Model inputs'!Q21&lt;=DATE(2027,6,1),DATE(2027,6,1)&lt;=EDATE('Model inputs'!Q21,'Model inputs'!Q18-1*1))),'Monthly revenue cost and runway'!I16,"")),IF(IF(IF(AND('Model inputs'!Q21&lt;=DATE(2027,7,1),DATE(2027,7,1)&lt;=EDATE('Model inputs'!Q21,'Model inputs'!Q18-1*1))="",FALSE,AND('Model inputs'!Q21&lt;=DATE(2027,7,1),DATE(2027,7,1)&lt;=EDATE('Model inputs'!Q21,'Model inputs'!Q18-1*1))),'Monthly revenue cost and runway'!J16,"")="",0,IF(IF(AND('Model inputs'!Q21&lt;=DATE(2027,7,1),DATE(2027,7,1)&lt;=EDATE('Model inputs'!Q21,'Model inputs'!Q18-1*1))="",FALSE,AND('Model inputs'!Q21&lt;=DATE(2027,7,1),DATE(2027,7,1)&lt;=EDATE('Model inputs'!Q21,'Model inputs'!Q18-1*1))),'Monthly revenue cost and runway'!J16,"")),IF(IF(IF(AND('Model inputs'!Q21&lt;=DATE(2027,8,1),DATE(2027,8,1)&lt;=EDATE('Model inputs'!Q21,'Model inputs'!Q18-1*1))="",FALSE,AND('Model inputs'!Q21&lt;=DATE(2027,8,1),DATE(2027,8,1)&lt;=EDATE('Model inputs'!Q21,'Model inputs'!Q18-1*1))),'Monthly revenue cost and runway'!K16,"")="",0,IF(IF(AND('Model inputs'!Q21&lt;=DATE(2027,8,1),DATE(2027,8,1)&lt;=EDATE('Model inputs'!Q21,'Model inputs'!Q18-1*1))="",FALSE,AND('Model inputs'!Q21&lt;=DATE(2027,8,1),DATE(2027,8,1)&lt;=EDATE('Model inputs'!Q21,'Model inputs'!Q18-1*1))),'Monthly revenue cost and runway'!K16,"")),IF(IF(IF(AND('Model inputs'!Q21&lt;=DATE(2027,9,1),DATE(2027,9,1)&lt;=EDATE('Model inputs'!Q21,'Model inputs'!Q18-1*1))="",FALSE,AND('Model inputs'!Q21&lt;=DATE(2027,9,1),DATE(2027,9,1)&lt;=EDATE('Model inputs'!Q21,'Model inputs'!Q18-1*1))),'Monthly revenue cost and runway'!L16,"")="",0,IF(IF(AND('Model inputs'!Q21&lt;=DATE(2027,9,1),DATE(2027,9,1)&lt;=EDATE('Model inputs'!Q21,'Model inputs'!Q18-1*1))="",FALSE,AND('Model inputs'!Q21&lt;=DATE(2027,9,1),DATE(2027,9,1)&lt;=EDATE('Model inputs'!Q21,'Model inputs'!Q18-1*1))),'Monthly revenue cost and runway'!L16,"")),IF(IF(IF(AND('Model inputs'!Q21&lt;=DATE(2027,10,1),DATE(2027,10,1)&lt;=EDATE('Model inputs'!Q21,'Model inputs'!Q18-1*1))="",FALSE,AND('Model inputs'!Q21&lt;=DATE(2027,10,1),DATE(2027,10,1)&lt;=EDATE('Model inputs'!Q21,'Model inputs'!Q18-1*1))),'Monthly revenue cost and runway'!M16,"")="",0,IF(IF(AND('Model inputs'!Q21&lt;=DATE(2027,10,1),DATE(2027,10,1)&lt;=EDATE('Model inputs'!Q21,'Model inputs'!Q18-1*1))="",FALSE,AND('Model inputs'!Q21&lt;=DATE(2027,10,1),DATE(2027,10,1)&lt;=EDATE('Model inputs'!Q21,'Model inputs'!Q18-1*1))),'Monthly revenue cost and runway'!M16,"")),IF(IF(IF(AND('Model inputs'!Q21&lt;=DATE(2026,9,1),DATE(2026,9,1)&lt;=EDATE('Model inputs'!Q21,'Model inputs'!Q18-1*1))="",FALSE,AND('Model inputs'!Q21&lt;=DATE(2026,9,1),DATE(2026,9,1)&lt;=EDATE('Model inputs'!Q21,'Model inputs'!Q18-1*1))),'Model inputs'!C42,"")="",0,IF(IF(AND('Model inputs'!Q21&lt;=DATE(2026,9,1),DATE(2026,9,1)&lt;=EDATE('Model inputs'!Q21,'Model inputs'!Q18-1*1))="",FALSE,AND('Model inputs'!Q21&lt;=DATE(2026,9,1),DATE(2026,9,1)&lt;=EDATE('Model inputs'!Q21,'Model inputs'!Q18-1*1))),'Model inputs'!C42,"")),IF(IF(IF(AND('Model inputs'!Q21&lt;=DATE(2026,10,1),DATE(2026,10,1)&lt;=EDATE('Model inputs'!Q21,'Model inputs'!Q18-1*1))="",FALSE,AND('Model inputs'!Q21&lt;=DATE(2026,10,1),DATE(2026,10,1)&lt;=EDATE('Model inputs'!Q21,'Model inputs'!Q18-1*1))),'Model inputs'!D42,"")="",0,IF(IF(AND('Model inputs'!Q21&lt;=DATE(2026,10,1),DATE(2026,10,1)&lt;=EDATE('Model inputs'!Q21,'Model inputs'!Q18-1*1))="",FALSE,AND('Model inputs'!Q21&lt;=DATE(2026,10,1),DATE(2026,10,1)&lt;=EDATE('Model inputs'!Q21,'Model inputs'!Q18-1*1))),'Model inputs'!D42,"")))</f>
        <v>12420.2</v>
      </c>
      <c r="C6" s="8">
        <f>SUM(IF(IF(IF(AND('Model inputs'!Q23&lt;=DATE(2026,10,1),DATE(2026,10,1)&lt;=EDATE('Model inputs'!Q23,'Model inputs'!Q20-1*1))="",FALSE,AND('Model inputs'!Q23&lt;=DATE(2026,10,1),DATE(2026,10,1)&lt;=EDATE('Model inputs'!Q23,'Model inputs'!Q20-1*1))),'Model inputs'!D43,"")="",0,IF(IF(AND('Model inputs'!Q23&lt;=DATE(2026,10,1),DATE(2026,10,1)&lt;=EDATE('Model inputs'!Q23,'Model inputs'!Q20-1*1))="",FALSE,AND('Model inputs'!Q23&lt;=DATE(2026,10,1),DATE(2026,10,1)&lt;=EDATE('Model inputs'!Q23,'Model inputs'!Q20-1*1))),'Model inputs'!D43,"")),IF(IF(IF(AND('Model inputs'!Q23&lt;=DATE(2026,11,1),DATE(2026,11,1)&lt;=EDATE('Model inputs'!Q23,'Model inputs'!Q20-1*1))="",FALSE,AND('Model inputs'!Q23&lt;=DATE(2026,11,1),DATE(2026,11,1)&lt;=EDATE('Model inputs'!Q23,'Model inputs'!Q20-1*1))),'Model inputs'!E43,"")="",0,IF(IF(AND('Model inputs'!Q23&lt;=DATE(2026,11,1),DATE(2026,11,1)&lt;=EDATE('Model inputs'!Q23,'Model inputs'!Q20-1*1))="",FALSE,AND('Model inputs'!Q23&lt;=DATE(2026,11,1),DATE(2026,11,1)&lt;=EDATE('Model inputs'!Q23,'Model inputs'!Q20-1*1))),'Model inputs'!E43,"")),IF(IF(IF(AND('Model inputs'!Q23&lt;=DATE(2026,12,1),DATE(2026,12,1)&lt;=EDATE('Model inputs'!Q23,'Model inputs'!Q20-1*1))="",FALSE,AND('Model inputs'!Q23&lt;=DATE(2026,12,1),DATE(2026,12,1)&lt;=EDATE('Model inputs'!Q23,'Model inputs'!Q20-1*1))),'Model inputs'!F43,"")="",0,IF(IF(AND('Model inputs'!Q23&lt;=DATE(2026,12,1),DATE(2026,12,1)&lt;=EDATE('Model inputs'!Q23,'Model inputs'!Q20-1*1))="",FALSE,AND('Model inputs'!Q23&lt;=DATE(2026,12,1),DATE(2026,12,1)&lt;=EDATE('Model inputs'!Q23,'Model inputs'!Q20-1*1))),'Model inputs'!F43,"")),IF(IF(IF(AND('Model inputs'!Q23&lt;=DATE(2027,1,1),DATE(2027,1,1)&lt;=EDATE('Model inputs'!Q23,'Model inputs'!Q20-1*1))="",FALSE,AND('Model inputs'!Q23&lt;=DATE(2027,1,1),DATE(2027,1,1)&lt;=EDATE('Model inputs'!Q23,'Model inputs'!Q20-1*1))),'Model inputs'!G43,"")="",0,IF(IF(AND('Model inputs'!Q23&lt;=DATE(2027,1,1),DATE(2027,1,1)&lt;=EDATE('Model inputs'!Q23,'Model inputs'!Q20-1*1))="",FALSE,AND('Model inputs'!Q23&lt;=DATE(2027,1,1),DATE(2027,1,1)&lt;=EDATE('Model inputs'!Q23,'Model inputs'!Q20-1*1))),'Model inputs'!G43,"")),IF(IF(IF(AND('Model inputs'!Q23&lt;=DATE(2027,2,1),DATE(2027,2,1)&lt;=EDATE('Model inputs'!Q23,'Model inputs'!Q20-1*1))="",FALSE,AND('Model inputs'!Q23&lt;=DATE(2027,2,1),DATE(2027,2,1)&lt;=EDATE('Model inputs'!Q23,'Model inputs'!Q20-1*1))),'Model inputs'!H43,"")="",0,IF(IF(AND('Model inputs'!Q23&lt;=DATE(2027,2,1),DATE(2027,2,1)&lt;=EDATE('Model inputs'!Q23,'Model inputs'!Q20-1*1))="",FALSE,AND('Model inputs'!Q23&lt;=DATE(2027,2,1),DATE(2027,2,1)&lt;=EDATE('Model inputs'!Q23,'Model inputs'!Q20-1*1))),'Model inputs'!H43,"")),IF(IF(IF(AND('Model inputs'!Q23&lt;=DATE(2027,3,1),DATE(2027,3,1)&lt;=EDATE('Model inputs'!Q23,'Model inputs'!Q20-1*1))="",FALSE,AND('Model inputs'!Q23&lt;=DATE(2027,3,1),DATE(2027,3,1)&lt;=EDATE('Model inputs'!Q23,'Model inputs'!Q20-1*1))),'Model inputs'!I43,"")="",0,IF(IF(AND('Model inputs'!Q23&lt;=DATE(2027,3,1),DATE(2027,3,1)&lt;=EDATE('Model inputs'!Q23,'Model inputs'!Q20-1*1))="",FALSE,AND('Model inputs'!Q23&lt;=DATE(2027,3,1),DATE(2027,3,1)&lt;=EDATE('Model inputs'!Q23,'Model inputs'!Q20-1*1))),'Model inputs'!I43,"")),IF(IF(IF(AND('Model inputs'!Q23&lt;=DATE(2027,4,1),DATE(2027,4,1)&lt;=EDATE('Model inputs'!Q23,'Model inputs'!Q20-1*1))="",FALSE,AND('Model inputs'!Q23&lt;=DATE(2027,4,1),DATE(2027,4,1)&lt;=EDATE('Model inputs'!Q23,'Model inputs'!Q20-1*1))),'Model inputs'!J43,"")="",0,IF(IF(AND('Model inputs'!Q23&lt;=DATE(2027,4,1),DATE(2027,4,1)&lt;=EDATE('Model inputs'!Q23,'Model inputs'!Q20-1*1))="",FALSE,AND('Model inputs'!Q23&lt;=DATE(2027,4,1),DATE(2027,4,1)&lt;=EDATE('Model inputs'!Q23,'Model inputs'!Q20-1*1))),'Model inputs'!J43,"")),IF(IF(IF(AND('Model inputs'!Q23&lt;=DATE(2027,5,1),DATE(2027,5,1)&lt;=EDATE('Model inputs'!Q23,'Model inputs'!Q20-1*1))="",FALSE,AND('Model inputs'!Q23&lt;=DATE(2027,5,1),DATE(2027,5,1)&lt;=EDATE('Model inputs'!Q23,'Model inputs'!Q20-1*1))),'Model inputs'!K43,"")="",0,IF(IF(AND('Model inputs'!Q23&lt;=DATE(2027,5,1),DATE(2027,5,1)&lt;=EDATE('Model inputs'!Q23,'Model inputs'!Q20-1*1))="",FALSE,AND('Model inputs'!Q23&lt;=DATE(2027,5,1),DATE(2027,5,1)&lt;=EDATE('Model inputs'!Q23,'Model inputs'!Q20-1*1))),'Model inputs'!K43,"")),IF(IF(IF(AND('Model inputs'!Q23&lt;=DATE(2027,6,1),DATE(2027,6,1)&lt;=EDATE('Model inputs'!Q23,'Model inputs'!Q20-1*1))="",FALSE,AND('Model inputs'!Q23&lt;=DATE(2027,6,1),DATE(2027,6,1)&lt;=EDATE('Model inputs'!Q23,'Model inputs'!Q20-1*1))),'Model inputs'!L43,"")="",0,IF(IF(AND('Model inputs'!Q23&lt;=DATE(2027,6,1),DATE(2027,6,1)&lt;=EDATE('Model inputs'!Q23,'Model inputs'!Q20-1*1))="",FALSE,AND('Model inputs'!Q23&lt;=DATE(2027,6,1),DATE(2027,6,1)&lt;=EDATE('Model inputs'!Q23,'Model inputs'!Q20-1*1))),'Model inputs'!L43,"")),IF(IF(IF(AND('Model inputs'!Q23&lt;=DATE(2027,7,1),DATE(2027,7,1)&lt;=EDATE('Model inputs'!Q23,'Model inputs'!Q20-1*1))="",FALSE,AND('Model inputs'!Q23&lt;=DATE(2027,7,1),DATE(2027,7,1)&lt;=EDATE('Model inputs'!Q23,'Model inputs'!Q20-1*1))),'Model inputs'!M43,"")="",0,IF(IF(AND('Model inputs'!Q23&lt;=DATE(2027,7,1),DATE(2027,7,1)&lt;=EDATE('Model inputs'!Q23,'Model inputs'!Q20-1*1))="",FALSE,AND('Model inputs'!Q23&lt;=DATE(2027,7,1),DATE(2027,7,1)&lt;=EDATE('Model inputs'!Q23,'Model inputs'!Q20-1*1))),'Model inputs'!M43,"")),IF(IF(IF(AND('Model inputs'!Q23&lt;=DATE(2027,8,1),DATE(2027,8,1)&lt;=EDATE('Model inputs'!Q23,'Model inputs'!Q20-1*1))="",FALSE,AND('Model inputs'!Q23&lt;=DATE(2027,8,1),DATE(2027,8,1)&lt;=EDATE('Model inputs'!Q23,'Model inputs'!Q20-1*1))),'Model inputs'!N43,"")="",0,IF(IF(AND('Model inputs'!Q23&lt;=DATE(2027,8,1),DATE(2027,8,1)&lt;=EDATE('Model inputs'!Q23,'Model inputs'!Q20-1*1))="",FALSE,AND('Model inputs'!Q23&lt;=DATE(2027,8,1),DATE(2027,8,1)&lt;=EDATE('Model inputs'!Q23,'Model inputs'!Q20-1*1))),'Model inputs'!N43,"")),IF(IF(IF(AND('Model inputs'!Q23&lt;=DATE(2027,9,1),DATE(2027,9,1)&lt;=EDATE('Model inputs'!Q23,'Model inputs'!Q20-1*1))="",FALSE,AND('Model inputs'!Q23&lt;=DATE(2027,9,1),DATE(2027,9,1)&lt;=EDATE('Model inputs'!Q23,'Model inputs'!Q20-1*1))),'Model inputs'!O43,"")="",0,IF(IF(AND('Model inputs'!Q23&lt;=DATE(2027,9,1),DATE(2027,9,1)&lt;=EDATE('Model inputs'!Q23,'Model inputs'!Q20-1*1))="",FALSE,AND('Model inputs'!Q23&lt;=DATE(2027,9,1),DATE(2027,9,1)&lt;=EDATE('Model inputs'!Q23,'Model inputs'!Q20-1*1))),'Model inputs'!O43,"")),IF(IF(IF(AND('Model inputs'!Q23&lt;=DATE(2027,10,1),DATE(2027,10,1)&lt;=EDATE('Model inputs'!Q23,'Model inputs'!Q20-1*1))="",FALSE,AND('Model inputs'!Q23&lt;=DATE(2027,10,1),DATE(2027,10,1)&lt;=EDATE('Model inputs'!Q23,'Model inputs'!Q20-1*1))),'Model inputs'!P43,"")="",0,IF(IF(AND('Model inputs'!Q23&lt;=DATE(2027,10,1),DATE(2027,10,1)&lt;=EDATE('Model inputs'!Q23,'Model inputs'!Q20-1*1))="",FALSE,AND('Model inputs'!Q23&lt;=DATE(2027,10,1),DATE(2027,10,1)&lt;=EDATE('Model inputs'!Q23,'Model inputs'!Q20-1*1))),'Model inputs'!P43,"")),IF(IF(IF(AND('Model inputs'!Q23&lt;=DATE(2026,9,1),DATE(2026,9,1)&lt;=EDATE('Model inputs'!Q23,'Model inputs'!Q20-1*1))="",FALSE,AND('Model inputs'!Q23&lt;=DATE(2026,9,1),DATE(2026,9,1)&lt;=EDATE('Model inputs'!Q23,'Model inputs'!Q20-1*1))),'Model inputs'!C108,"")="",0,IF(IF(AND('Model inputs'!Q23&lt;=DATE(2026,9,1),DATE(2026,9,1)&lt;=EDATE('Model inputs'!Q23,'Model inputs'!Q20-1*1))="",FALSE,AND('Model inputs'!Q23&lt;=DATE(2026,9,1),DATE(2026,9,1)&lt;=EDATE('Model inputs'!Q23,'Model inputs'!Q20-1*1))),'Model inputs'!C108,"")))</f>
        <v>96930.5</v>
      </c>
    </row>
    <row r="7">
      <c r="A7" t="inlineStr" s="7">
        <is>
          <t xml:space="preserve">12-month net profit</t>
        </is>
      </c>
      <c r="B7" s="8">
        <f>'12-month forecast summary'!B5-'12-month forecast summary'!B6</f>
        <v>13487.8</v>
      </c>
      <c r="C7" s="8">
        <f>'12-month forecast summary'!C5-'12-month forecast summary'!C6</f>
        <v>539.5</v>
      </c>
    </row>
    <row r="8">
      <c r="A8" t="inlineStr" s="7">
        <is>
          <t xml:space="preserve">Forecast ending cash</t>
        </is>
      </c>
      <c r="B8" s="8">
        <f>IF(SUM(IF(IF('Model inputs'!B161="",0,1)="",0,IF('Model inputs'!B161="",0,1)),IF(IF('Model inputs'!B162="",0,1)="",0,IF('Model inputs'!B162="",0,1)),IF(IF('Model inputs'!B163="",0,1)="",0,IF('Model inputs'!B163="",0,1)),IF(IF('Model inputs'!B164="",0,1)="",0,IF('Model inputs'!B164="",0,1)),IF(IF('Model inputs'!B165="",0,1)="",0,IF('Model inputs'!B165="",0,1)),IF(IF('Model inputs'!B166="",0,1)="",0,IF('Model inputs'!B166="",0,1)),IF(IF('Model inputs'!B167="",0,1)="",0,IF('Model inputs'!B167="",0,1)),IF(IF('Model inputs'!B168="",0,1)="",0,IF('Model inputs'!B168="",0,1)),IF(IF('Model inputs'!B169="",0,1)="",0,IF('Model inputs'!B169="",0,1)),IF(IF('Model inputs'!B170="",0,1)="",0,IF('Model inputs'!B170="",0,1)),IF(IF('Model inputs'!B171="",0,1)="",0,IF('Model inputs'!B171="",0,1)),IF(IF('Model inputs'!B172="",0,1)="",0,IF('Model inputs'!B172="",0,1)),IF(IF('Model inputs'!B173="",0,1)="",0,IF('Model inputs'!B173="",0,1)),IF(IF('Model inputs'!B174="",0,1)="",0,IF('Model inputs'!B174="",0,1)))=0,"",SUM('Model inputs'!B161,'Model inputs'!B162,'Model inputs'!B163,'Model inputs'!B164,'Model inputs'!B165,'Model inputs'!B166,'Model inputs'!B167,'Model inputs'!B168,'Model inputs'!B169,'Model inputs'!B170,'Model inputs'!B171,'Model inputs'!B172,'Model inputs'!B173,'Model inputs'!B174))</f>
        <v>13487.8</v>
      </c>
      <c r="C8" s="8">
        <f>IF(SUM(IF(IF('Model inputs'!B175="",0,1)="",0,IF('Model inputs'!B175="",0,1)),IF(IF('Model inputs'!B176="",0,1)="",0,IF('Model inputs'!B176="",0,1)),IF(IF('Model inputs'!B177="",0,1)="",0,IF('Model inputs'!B177="",0,1)),IF(IF('Model inputs'!B178="",0,1)="",0,IF('Model inputs'!B178="",0,1)),IF(IF('Model inputs'!B179="",0,1)="",0,IF('Model inputs'!B179="",0,1)),IF(IF('Model inputs'!B180="",0,1)="",0,IF('Model inputs'!B180="",0,1)),IF(IF('Model inputs'!B181="",0,1)="",0,IF('Model inputs'!B181="",0,1)),IF(IF('Model inputs'!B182="",0,1)="",0,IF('Model inputs'!B182="",0,1)),IF(IF('Model inputs'!B183="",0,1)="",0,IF('Model inputs'!B183="",0,1)),IF(IF('Model inputs'!B184="",0,1)="",0,IF('Model inputs'!B184="",0,1)),IF(IF('Model inputs'!B185="",0,1)="",0,IF('Model inputs'!B185="",0,1)),IF(IF('Model inputs'!B186="",0,1)="",0,IF('Model inputs'!B186="",0,1)),IF(IF('Model inputs'!B187="",0,1)="",0,IF('Model inputs'!B187="",0,1)),IF(IF('Model inputs'!B188="",0,1)="",0,IF('Model inputs'!B188="",0,1)))=0,"",SUM('Model inputs'!B175,'Model inputs'!B176,'Model inputs'!B177,'Model inputs'!B178,'Model inputs'!B179,'Model inputs'!B180,'Model inputs'!B181,'Model inputs'!B182,'Model inputs'!B183,'Model inputs'!B184,'Model inputs'!B185,'Model inputs'!B186,'Model inputs'!B187,'Model inputs'!B188))</f>
        <v>539.4999999999982</v>
      </c>
    </row>
    <row r="9">
      <c r="A9" t="inlineStr" s="5">
        <is>
          <t xml:space="preserve">Minimum opening funding required</t>
        </is>
      </c>
      <c r="B9" s="6">
        <f>IF(SUM(IF(IF('Model inputs'!B189="",0,1)="",0,IF('Model inputs'!B189="",0,1)),IF(IF('Model inputs'!B190="",0,1)="",0,IF('Model inputs'!B190="",0,1)),IF(IF('Model inputs'!B191="",0,1)="",0,IF('Model inputs'!B191="",0,1)),IF(IF('Model inputs'!B192="",0,1)="",0,IF('Model inputs'!B192="",0,1)),IF(IF('Model inputs'!B193="",0,1)="",0,IF('Model inputs'!B193="",0,1)),IF(IF('Model inputs'!B194="",0,1)="",0,IF('Model inputs'!B194="",0,1)),IF(IF('Model inputs'!B195="",0,1)="",0,IF('Model inputs'!B195="",0,1)),IF(IF('Model inputs'!B196="",0,1)="",0,IF('Model inputs'!B196="",0,1)),IF(IF('Model inputs'!B197="",0,1)="",0,IF('Model inputs'!B197="",0,1)),IF(IF('Model inputs'!B198="",0,1)="",0,IF('Model inputs'!B198="",0,1)),IF(IF('Model inputs'!B199="",0,1)="",0,IF('Model inputs'!B199="",0,1)),IF(IF('Model inputs'!B200="",0,1)="",0,IF('Model inputs'!B200="",0,1)),IF(IF('Model inputs'!B201="",0,1)="",0,IF('Model inputs'!B201="",0,1)),IF(IF('Model inputs'!B202="",0,1)="",0,IF('Model inputs'!B202="",0,1)))=0,"",SUM('Model inputs'!B189,'Model inputs'!B190,'Model inputs'!B191,'Model inputs'!B192,'Model inputs'!B193,'Model inputs'!B194,'Model inputs'!B195,'Model inputs'!B196,'Model inputs'!B197,'Model inputs'!B198,'Model inputs'!B199,'Model inputs'!B200,'Model inputs'!B201,'Model inputs'!B202))</f>
        <v>45.69999999999999</v>
      </c>
      <c r="C9" s="6">
        <f>IF(SUM(IF(IF('Model inputs'!B203="",0,1)="",0,IF('Model inputs'!B203="",0,1)),IF(IF('Model inputs'!B204="",0,1)="",0,IF('Model inputs'!B204="",0,1)),IF(IF('Model inputs'!B205="",0,1)="",0,IF('Model inputs'!B205="",0,1)),IF(IF('Model inputs'!B206="",0,1)="",0,IF('Model inputs'!B206="",0,1)),IF(IF('Model inputs'!B207="",0,1)="",0,IF('Model inputs'!B207="",0,1)),IF(IF('Model inputs'!B208="",0,1)="",0,IF('Model inputs'!B208="",0,1)),IF(IF('Model inputs'!B209="",0,1)="",0,IF('Model inputs'!B209="",0,1)),IF(IF('Model inputs'!B210="",0,1)="",0,IF('Model inputs'!B210="",0,1)),IF(IF('Model inputs'!B211="",0,1)="",0,IF('Model inputs'!B211="",0,1)),IF(IF('Model inputs'!B212="",0,1)="",0,IF('Model inputs'!B212="",0,1)),IF(IF('Model inputs'!B213="",0,1)="",0,IF('Model inputs'!B213="",0,1)),IF(IF('Model inputs'!B214="",0,1)="",0,IF('Model inputs'!B214="",0,1)),IF(IF('Model inputs'!B215="",0,1)="",0,IF('Model inputs'!B215="",0,1)),IF(IF('Model inputs'!B216="",0,1)="",0,IF('Model inputs'!B216="",0,1)))=0,"",SUM('Model inputs'!B203,'Model inputs'!B204,'Model inputs'!B205,'Model inputs'!B206,'Model inputs'!B207,'Model inputs'!B208,'Model inputs'!B209,'Model inputs'!B210,'Model inputs'!B211,'Model inputs'!B212,'Model inputs'!B213,'Model inputs'!B214,'Model inputs'!B215,'Model inputs'!B216))</f>
        <v>4759.977272727276</v>
      </c>
    </row>
  </sheetData>
  <mergeCells count="1">
    <mergeCell ref="A1:C1"/>
  </mergeCells>
</worksheet>
</file>

<file path=xl/worksheets/sheet2.xml><?xml version="1.0" encoding="utf-8"?>
<worksheet xmlns="http://schemas.openxmlformats.org/spreadsheetml/2006/main">
  <dimension ref="A1:M2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Monthly revenue cost and runway</t>
        </is>
      </c>
    </row>
    <row r="2" ht="20" customHeight="1">
      <c r="A2" t="inlineStr" s="2">
        <is>
          <t xml:space="preserve">Susanoo — 12-Month Forecast · Susanoo —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9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9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9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9">
        <is>
          <t xml:space="preserve">2027-10</t>
        </is>
      </c>
    </row>
    <row r="5">
      <c r="A5" t="inlineStr" s="5">
        <is>
          <t xml:space="preserve">Forecast subscription revenue</t>
        </is>
      </c>
      <c r="B5" s="6">
        <f>SUM('Customers revenue and run costs'!B11,'Customers revenue and run costs'!B12,'Customers revenue and run costs'!B13)</f>
        <v>158</v>
      </c>
      <c r="C5" s="6">
        <f>SUM('Customers revenue and run costs'!C11,'Customers revenue and run costs'!C12,'Customers revenue and run costs'!C13)</f>
        <v>430.90909090909093</v>
      </c>
      <c r="D5" s="6">
        <f>SUM('Customers revenue and run costs'!D11,'Customers revenue and run costs'!D12,'Customers revenue and run costs'!D13)</f>
        <v>703.8181818181819</v>
      </c>
      <c r="E5" s="6">
        <f>SUM('Customers revenue and run costs'!E11,'Customers revenue and run costs'!E12,'Customers revenue and run costs'!E13)</f>
        <v>976.7272727272727</v>
      </c>
      <c r="F5" s="6">
        <f>SUM('Customers revenue and run costs'!F11,'Customers revenue and run costs'!F12,'Customers revenue and run costs'!F13)</f>
        <v>1249.6363636363637</v>
      </c>
      <c r="G5" s="6">
        <f>SUM('Customers revenue and run costs'!G11,'Customers revenue and run costs'!G12,'Customers revenue and run costs'!G13)</f>
        <v>1522.5454545454545</v>
      </c>
      <c r="H5" s="6">
        <f>SUM('Customers revenue and run costs'!H11,'Customers revenue and run costs'!H12,'Customers revenue and run costs'!H13)</f>
        <v>1795.4545454545455</v>
      </c>
      <c r="I5" s="6">
        <f>SUM('Customers revenue and run costs'!I11,'Customers revenue and run costs'!I12,'Customers revenue and run costs'!I13)</f>
        <v>2068.3636363636365</v>
      </c>
      <c r="J5" s="6">
        <f>SUM('Customers revenue and run costs'!J11,'Customers revenue and run costs'!J12,'Customers revenue and run costs'!J13)</f>
        <v>3841.2727272727275</v>
      </c>
      <c r="K5" s="6">
        <f>SUM('Customers revenue and run costs'!K11,'Customers revenue and run costs'!K12,'Customers revenue and run costs'!K13)</f>
        <v>4114.181818181818</v>
      </c>
      <c r="L5" s="6">
        <f>SUM('Customers revenue and run costs'!L11,'Customers revenue and run costs'!L12,'Customers revenue and run costs'!L13)</f>
        <v>4387.090909090909</v>
      </c>
      <c r="M5" s="6">
        <f>SUM('Customers revenue and run costs'!M11,'Customers revenue and run costs'!M12,'Customers revenue and run costs'!M13)</f>
        <v>4660</v>
      </c>
    </row>
    <row r="6">
      <c r="A6" t="inlineStr" s="7">
        <is>
          <t xml:space="preserve">Team revenue</t>
        </is>
      </c>
      <c r="B6" s="8">
        <f>IF('Customers revenue and run costs'!B13="","",'Customers revenue and run costs'!B13)</f>
        <v>158</v>
      </c>
      <c r="C6" s="8">
        <f>IF('Customers revenue and run costs'!C13="","",'Customers revenue and run costs'!C13)</f>
        <v>430.90909090909093</v>
      </c>
      <c r="D6" s="8">
        <f>IF('Customers revenue and run costs'!D13="","",'Customers revenue and run costs'!D13)</f>
        <v>703.8181818181819</v>
      </c>
      <c r="E6" s="8">
        <f>IF('Customers revenue and run costs'!E13="","",'Customers revenue and run costs'!E13)</f>
        <v>976.7272727272727</v>
      </c>
      <c r="F6" s="8">
        <f>IF('Customers revenue and run costs'!F13="","",'Customers revenue and run costs'!F13)</f>
        <v>1249.6363636363637</v>
      </c>
      <c r="G6" s="8">
        <f>IF('Customers revenue and run costs'!G13="","",'Customers revenue and run costs'!G13)</f>
        <v>1522.5454545454545</v>
      </c>
      <c r="H6" s="8">
        <f>IF('Customers revenue and run costs'!H13="","",'Customers revenue and run costs'!H13)</f>
        <v>1795.4545454545455</v>
      </c>
      <c r="I6" s="8">
        <f>IF('Customers revenue and run costs'!I13="","",'Customers revenue and run costs'!I13)</f>
        <v>2068.3636363636365</v>
      </c>
      <c r="J6" s="8">
        <f>IF('Customers revenue and run costs'!J13="","",'Customers revenue and run costs'!J13)</f>
        <v>2341.2727272727275</v>
      </c>
      <c r="K6" s="8">
        <f>IF('Customers revenue and run costs'!K13="","",'Customers revenue and run costs'!K13)</f>
        <v>2614.1818181818185</v>
      </c>
      <c r="L6" s="8">
        <f>IF('Customers revenue and run costs'!L13="","",'Customers revenue and run costs'!L13)</f>
        <v>2887.090909090909</v>
      </c>
      <c r="M6" s="8">
        <f>IF('Customers revenue and run costs'!M13="","",'Customers revenue and run costs'!M13)</f>
        <v>3160</v>
      </c>
    </row>
    <row r="7">
      <c r="A7" t="inlineStr" s="7">
        <is>
          <t xml:space="preserve">Enterprise revenue</t>
        </is>
      </c>
      <c r="B7" s="8">
        <f>IF('Customers revenue and run costs'!B11="","",'Customers revenue and run costs'!B11)</f>
        <v>0</v>
      </c>
      <c r="C7" s="8">
        <f>IF('Customers revenue and run costs'!C11="","",'Customers revenue and run costs'!C11)</f>
        <v>0</v>
      </c>
      <c r="D7" s="8">
        <f>IF('Customers revenue and run costs'!D11="","",'Customers revenue and run costs'!D11)</f>
        <v>0</v>
      </c>
      <c r="E7" s="8">
        <f>IF('Customers revenue and run costs'!E11="","",'Customers revenue and run costs'!E11)</f>
        <v>0</v>
      </c>
      <c r="F7" s="8">
        <f>IF('Customers revenue and run costs'!F11="","",'Customers revenue and run costs'!F11)</f>
        <v>0</v>
      </c>
      <c r="G7" s="8">
        <f>IF('Customers revenue and run costs'!G11="","",'Customers revenue and run costs'!G11)</f>
        <v>0</v>
      </c>
      <c r="H7" s="8">
        <f>IF('Customers revenue and run costs'!H11="","",'Customers revenue and run costs'!H11)</f>
        <v>0</v>
      </c>
      <c r="I7" s="8">
        <f>IF('Customers revenue and run costs'!I11="","",'Customers revenue and run costs'!I11)</f>
        <v>0</v>
      </c>
      <c r="J7" s="8">
        <f>IF('Customers revenue and run costs'!J11="","",'Customers revenue and run costs'!J11)</f>
        <v>1500</v>
      </c>
      <c r="K7" s="8">
        <f>IF('Customers revenue and run costs'!K11="","",'Customers revenue and run costs'!K11)</f>
        <v>1500</v>
      </c>
      <c r="L7" s="8">
        <f>IF('Customers revenue and run costs'!L11="","",'Customers revenue and run costs'!L11)</f>
        <v>1500</v>
      </c>
      <c r="M7" s="8">
        <f>IF('Customers revenue and run costs'!M11="","",'Customers revenue and run costs'!M11)</f>
        <v>1500</v>
      </c>
    </row>
    <row r="8">
      <c r="A8" t="inlineStr" s="7">
        <is>
          <t xml:space="preserve">Team run costs</t>
        </is>
      </c>
      <c r="B8" s="8">
        <f>IF('Customers revenue and run costs'!B17="","",'Customers revenue and run costs'!B17)</f>
        <v>37.2</v>
      </c>
      <c r="C8" s="8">
        <f>IF('Customers revenue and run costs'!C17="","",'Customers revenue and run costs'!C17)</f>
        <v>101.45454545454548</v>
      </c>
      <c r="D8" s="8">
        <f>IF('Customers revenue and run costs'!D17="","",'Customers revenue and run costs'!D17)</f>
        <v>165.70909090909092</v>
      </c>
      <c r="E8" s="8">
        <f>IF('Customers revenue and run costs'!E17="","",'Customers revenue and run costs'!E17)</f>
        <v>229.9636363636364</v>
      </c>
      <c r="F8" s="8">
        <f>IF('Customers revenue and run costs'!F17="","",'Customers revenue and run costs'!F17)</f>
        <v>294.2181818181818</v>
      </c>
      <c r="G8" s="8">
        <f>IF('Customers revenue and run costs'!G17="","",'Customers revenue and run costs'!G17)</f>
        <v>358.4727272727273</v>
      </c>
      <c r="H8" s="8">
        <f>IF('Customers revenue and run costs'!H17="","",'Customers revenue and run costs'!H17)</f>
        <v>422.72727272727275</v>
      </c>
      <c r="I8" s="8">
        <f>IF('Customers revenue and run costs'!I17="","",'Customers revenue and run costs'!I17)</f>
        <v>486.9818181818182</v>
      </c>
      <c r="J8" s="8">
        <f>IF('Customers revenue and run costs'!J17="","",'Customers revenue and run costs'!J17)</f>
        <v>551.2363636363636</v>
      </c>
      <c r="K8" s="8">
        <f>IF('Customers revenue and run costs'!K17="","",'Customers revenue and run costs'!K17)</f>
        <v>615.4909090909092</v>
      </c>
      <c r="L8" s="8">
        <f>IF('Customers revenue and run costs'!L17="","",'Customers revenue and run costs'!L17)</f>
        <v>679.7454545454545</v>
      </c>
      <c r="M8" s="8">
        <f>IF('Customers revenue and run costs'!M17="","",'Customers revenue and run costs'!M17)</f>
        <v>744</v>
      </c>
    </row>
    <row r="9">
      <c r="A9" t="inlineStr" s="7">
        <is>
          <t xml:space="preserve">Enterprise run costs</t>
        </is>
      </c>
      <c r="B9" s="8">
        <f>IF('Customers revenue and run costs'!B15="","",'Customers revenue and run costs'!B15)</f>
        <v>0</v>
      </c>
      <c r="C9" s="8">
        <f>IF('Customers revenue and run costs'!C15="","",'Customers revenue and run costs'!C15)</f>
        <v>0</v>
      </c>
      <c r="D9" s="8">
        <f>IF('Customers revenue and run costs'!D15="","",'Customers revenue and run costs'!D15)</f>
        <v>0</v>
      </c>
      <c r="E9" s="8">
        <f>IF('Customers revenue and run costs'!E15="","",'Customers revenue and run costs'!E15)</f>
        <v>0</v>
      </c>
      <c r="F9" s="8">
        <f>IF('Customers revenue and run costs'!F15="","",'Customers revenue and run costs'!F15)</f>
        <v>0</v>
      </c>
      <c r="G9" s="8">
        <f>IF('Customers revenue and run costs'!G15="","",'Customers revenue and run costs'!G15)</f>
        <v>0</v>
      </c>
      <c r="H9" s="8">
        <f>IF('Customers revenue and run costs'!H15="","",'Customers revenue and run costs'!H15)</f>
        <v>0</v>
      </c>
      <c r="I9" s="8">
        <f>IF('Customers revenue and run costs'!I15="","",'Customers revenue and run costs'!I15)</f>
        <v>0</v>
      </c>
      <c r="J9" s="8">
        <f>IF('Customers revenue and run costs'!J15="","",'Customers revenue and run costs'!J15)</f>
        <v>155</v>
      </c>
      <c r="K9" s="8">
        <f>IF('Customers revenue and run costs'!K15="","",'Customers revenue and run costs'!K15)</f>
        <v>155</v>
      </c>
      <c r="L9" s="8">
        <f>IF('Customers revenue and run costs'!L15="","",'Customers revenue and run costs'!L15)</f>
        <v>155</v>
      </c>
      <c r="M9" s="8">
        <f>IF('Customers revenue and run costs'!M15="","",'Customers revenue and run costs'!M15)</f>
        <v>155</v>
      </c>
    </row>
    <row r="10">
      <c r="A10" t="inlineStr" s="7">
        <is>
          <t xml:space="preserve">Free run costs</t>
        </is>
      </c>
      <c r="B10" s="8">
        <f>IF('Customers revenue and run costs'!B16="","",'Customers revenue and run costs'!B16)</f>
        <v>77.5</v>
      </c>
      <c r="C10" s="8">
        <f>IF('Customers revenue and run costs'!C16="","",'Customers revenue and run costs'!C16)</f>
        <v>155</v>
      </c>
      <c r="D10" s="8">
        <f>IF('Customers revenue and run costs'!D16="","",'Customers revenue and run costs'!D16)</f>
        <v>232.5</v>
      </c>
      <c r="E10" s="8">
        <f>IF('Customers revenue and run costs'!E16="","",'Customers revenue and run costs'!E16)</f>
        <v>310</v>
      </c>
      <c r="F10" s="8">
        <f>IF('Customers revenue and run costs'!F16="","",'Customers revenue and run costs'!F16)</f>
        <v>387.5</v>
      </c>
      <c r="G10" s="8">
        <f>IF('Customers revenue and run costs'!G16="","",'Customers revenue and run costs'!G16)</f>
        <v>465</v>
      </c>
      <c r="H10" s="8">
        <f>IF('Customers revenue and run costs'!H16="","",'Customers revenue and run costs'!H16)</f>
        <v>542.5</v>
      </c>
      <c r="I10" s="8">
        <f>IF('Customers revenue and run costs'!I16="","",'Customers revenue and run costs'!I16)</f>
        <v>620</v>
      </c>
      <c r="J10" s="8">
        <f>IF('Customers revenue and run costs'!J16="","",'Customers revenue and run costs'!J16)</f>
        <v>697.5</v>
      </c>
      <c r="K10" s="8">
        <f>IF('Customers revenue and run costs'!K16="","",'Customers revenue and run costs'!K16)</f>
        <v>775</v>
      </c>
      <c r="L10" s="8">
        <f>IF('Customers revenue and run costs'!L16="","",'Customers revenue and run costs'!L16)</f>
        <v>852.5</v>
      </c>
      <c r="M10" s="8">
        <f>IF('Customers revenue and run costs'!M16="","",'Customers revenue and run costs'!M16)</f>
        <v>930</v>
      </c>
    </row>
    <row r="11">
      <c r="A11" t="inlineStr" s="7">
        <is>
          <t xml:space="preserve">Forecast run costs</t>
        </is>
      </c>
      <c r="B11" s="8">
        <f>SUM('Customers revenue and run costs'!B15,'Customers revenue and run costs'!B16,'Customers revenue and run costs'!B17)</f>
        <v>114.7</v>
      </c>
      <c r="C11" s="8">
        <f>SUM('Customers revenue and run costs'!C15,'Customers revenue and run costs'!C16,'Customers revenue and run costs'!C17)</f>
        <v>256.4545454545455</v>
      </c>
      <c r="D11" s="8">
        <f>SUM('Customers revenue and run costs'!D15,'Customers revenue and run costs'!D16,'Customers revenue and run costs'!D17)</f>
        <v>398.20909090909095</v>
      </c>
      <c r="E11" s="8">
        <f>SUM('Customers revenue and run costs'!E15,'Customers revenue and run costs'!E16,'Customers revenue and run costs'!E17)</f>
        <v>539.9636363636364</v>
      </c>
      <c r="F11" s="8">
        <f>SUM('Customers revenue and run costs'!F15,'Customers revenue and run costs'!F16,'Customers revenue and run costs'!F17)</f>
        <v>681.7181818181818</v>
      </c>
      <c r="G11" s="8">
        <f>SUM('Customers revenue and run costs'!G15,'Customers revenue and run costs'!G16,'Customers revenue and run costs'!G17)</f>
        <v>823.4727272727273</v>
      </c>
      <c r="H11" s="8">
        <f>SUM('Customers revenue and run costs'!H15,'Customers revenue and run costs'!H16,'Customers revenue and run costs'!H17)</f>
        <v>965.2272727272727</v>
      </c>
      <c r="I11" s="8">
        <f>SUM('Customers revenue and run costs'!I15,'Customers revenue and run costs'!I16,'Customers revenue and run costs'!I17)</f>
        <v>1106.9818181818182</v>
      </c>
      <c r="J11" s="8">
        <f>SUM('Customers revenue and run costs'!J15,'Customers revenue and run costs'!J16,'Customers revenue and run costs'!J17)</f>
        <v>1403.7363636363636</v>
      </c>
      <c r="K11" s="8">
        <f>SUM('Customers revenue and run costs'!K15,'Customers revenue and run costs'!K16,'Customers revenue and run costs'!K17)</f>
        <v>1545.490909090909</v>
      </c>
      <c r="L11" s="8">
        <f>SUM('Customers revenue and run costs'!L15,'Customers revenue and run costs'!L16,'Customers revenue and run costs'!L17)</f>
        <v>1687.2454545454545</v>
      </c>
      <c r="M11" s="8">
        <f>SUM('Customers revenue and run costs'!M15,'Customers revenue and run costs'!M16,'Customers revenue and run costs'!M17)</f>
        <v>1829</v>
      </c>
    </row>
    <row r="12">
      <c r="A12" t="inlineStr" s="7">
        <is>
          <t xml:space="preserve">Forecast gross profit</t>
        </is>
      </c>
      <c r="B12" s="8">
        <f>'Monthly revenue cost and runway'!B5-'Monthly revenue cost and runway'!B11</f>
        <v>43.3</v>
      </c>
      <c r="C12" s="8">
        <f>'Monthly revenue cost and runway'!C5-'Monthly revenue cost and runway'!C11</f>
        <v>174.45454545454544</v>
      </c>
      <c r="D12" s="8">
        <f>'Monthly revenue cost and runway'!D5-'Monthly revenue cost and runway'!D11</f>
        <v>305.6090909090909</v>
      </c>
      <c r="E12" s="8">
        <f>'Monthly revenue cost and runway'!E5-'Monthly revenue cost and runway'!E11</f>
        <v>436.76363636363635</v>
      </c>
      <c r="F12" s="8">
        <f>'Monthly revenue cost and runway'!F5-'Monthly revenue cost and runway'!F11</f>
        <v>567.9181818181819</v>
      </c>
      <c r="G12" s="8">
        <f>'Monthly revenue cost and runway'!G5-'Monthly revenue cost and runway'!G11</f>
        <v>699.0727272727272</v>
      </c>
      <c r="H12" s="8">
        <f>'Monthly revenue cost and runway'!H5-'Monthly revenue cost and runway'!H11</f>
        <v>830.2272727272727</v>
      </c>
      <c r="I12" s="8">
        <f>'Monthly revenue cost and runway'!I5-'Monthly revenue cost and runway'!I11</f>
        <v>961.3818181818183</v>
      </c>
      <c r="J12" s="8">
        <f>'Monthly revenue cost and runway'!J5-'Monthly revenue cost and runway'!J11</f>
        <v>2437.5363636363636</v>
      </c>
      <c r="K12" s="8">
        <f>'Monthly revenue cost and runway'!K5-'Monthly revenue cost and runway'!K11</f>
        <v>2568.690909090909</v>
      </c>
      <c r="L12" s="8">
        <f>'Monthly revenue cost and runway'!L5-'Monthly revenue cost and runway'!L11</f>
        <v>2699.8454545454542</v>
      </c>
      <c r="M12" s="8">
        <f>'Monthly revenue cost and runway'!M5-'Monthly revenue cost and runway'!M11</f>
        <v>2831</v>
      </c>
    </row>
    <row r="13">
      <c r="A13" t="inlineStr" s="7">
        <is>
          <t xml:space="preserve">Forecast gross margin</t>
        </is>
      </c>
      <c r="B13" s="10">
        <f>IFERROR('Monthly revenue cost and runway'!B12/'Monthly revenue cost and runway'!B5,"")</f>
        <v>0.27405063291139237</v>
      </c>
      <c r="C13" s="10">
        <f>IFERROR('Monthly revenue cost and runway'!C12/'Monthly revenue cost and runway'!C5,"")</f>
        <v>0.4048523206751054</v>
      </c>
      <c r="D13" s="10">
        <f>IFERROR('Monthly revenue cost and runway'!D12/'Monthly revenue cost and runway'!D5,"")</f>
        <v>0.4342159648669594</v>
      </c>
      <c r="E13" s="10">
        <f>IFERROR('Monthly revenue cost and runway'!E12/'Monthly revenue cost and runway'!E5,"")</f>
        <v>0.4471705137751303</v>
      </c>
      <c r="F13" s="10">
        <f>IFERROR('Monthly revenue cost and runway'!F12/'Monthly revenue cost and runway'!F5,"")</f>
        <v>0.4544667539647898</v>
      </c>
      <c r="G13" s="10">
        <f>IFERROR('Monthly revenue cost and runway'!G12/'Monthly revenue cost and runway'!G5,"")</f>
        <v>0.4591473608789109</v>
      </c>
      <c r="H13" s="10">
        <f>IFERROR('Monthly revenue cost and runway'!H12/'Monthly revenue cost and runway'!H5,"")</f>
        <v>0.46240506329113923</v>
      </c>
      <c r="I13" s="10">
        <f>IFERROR('Monthly revenue cost and runway'!I12/'Monthly revenue cost and runway'!I5,"")</f>
        <v>0.464803094233474</v>
      </c>
      <c r="J13" s="10">
        <f>IFERROR('Monthly revenue cost and runway'!J12/'Monthly revenue cost and runway'!J5,"")</f>
        <v>0.6345647749325507</v>
      </c>
      <c r="K13" s="10">
        <f>IFERROR('Monthly revenue cost and runway'!K12/'Monthly revenue cost and runway'!K5,"")</f>
        <v>0.6243503623828884</v>
      </c>
      <c r="L13" s="10">
        <f>IFERROR('Monthly revenue cost and runway'!L12/'Monthly revenue cost and runway'!L5,"")</f>
        <v>0.615406771934187</v>
      </c>
      <c r="M13" s="10">
        <f>IFERROR('Monthly revenue cost and runway'!M12/'Monthly revenue cost and runway'!M5,"")</f>
        <v>0.6075107296137339</v>
      </c>
    </row>
    <row r="14">
      <c r="A14" t="inlineStr" s="7">
        <is>
          <t xml:space="preserve">Forecast fixed costs</t>
        </is>
      </c>
      <c r="B14" s="8">
        <f>IF('Model inputs'!B15="","",'Model inputs'!B15)</f>
        <v>89</v>
      </c>
      <c r="C14" s="8">
        <f>IF('Model inputs'!B15="","",'Model inputs'!B15)</f>
        <v>89</v>
      </c>
      <c r="D14" s="8">
        <f>IF('Model inputs'!B15="","",'Model inputs'!B15)</f>
        <v>89</v>
      </c>
      <c r="E14" s="8">
        <f>IF('Model inputs'!B15="","",'Model inputs'!B15)</f>
        <v>89</v>
      </c>
      <c r="F14" s="8">
        <f>IF('Model inputs'!B15="","",'Model inputs'!B15)</f>
        <v>89</v>
      </c>
      <c r="G14" s="8">
        <f>IF('Model inputs'!B15="","",'Model inputs'!B15)</f>
        <v>89</v>
      </c>
      <c r="H14" s="8">
        <f>IF('Model inputs'!B15="","",'Model inputs'!B15)</f>
        <v>89</v>
      </c>
      <c r="I14" s="8">
        <f>IF('Model inputs'!B15="","",'Model inputs'!B15)</f>
        <v>89</v>
      </c>
      <c r="J14" s="8">
        <f>IF('Model inputs'!B15="","",'Model inputs'!B15)</f>
        <v>89</v>
      </c>
      <c r="K14" s="8">
        <f>IF('Model inputs'!B15="","",'Model inputs'!B15)</f>
        <v>89</v>
      </c>
      <c r="L14" s="8">
        <f>IF('Model inputs'!B15="","",'Model inputs'!B15)</f>
        <v>89</v>
      </c>
      <c r="M14" s="8">
        <f>IF('Model inputs'!B15="","",'Model inputs'!B15)</f>
        <v>89</v>
      </c>
    </row>
    <row r="15">
      <c r="A15" t="inlineStr" s="7">
        <is>
          <t xml:space="preserve">Forecast salaries</t>
        </is>
      </c>
      <c r="B15" s="8">
        <f>SUM('Monthly headcount and payroll'!B10,'Monthly headcount and payroll'!B11,'Monthly headcount and payroll'!B12)</f>
        <v>0</v>
      </c>
      <c r="C15" s="8">
        <f>SUM('Monthly headcount and payroll'!C10,'Monthly headcount and payroll'!C11,'Monthly headcount and payroll'!C12)</f>
        <v>0</v>
      </c>
      <c r="D15" s="8">
        <f>SUM('Monthly headcount and payroll'!D10,'Monthly headcount and payroll'!D11,'Monthly headcount and payroll'!D12)</f>
        <v>0</v>
      </c>
      <c r="E15" s="8">
        <f>SUM('Monthly headcount and payroll'!E10,'Monthly headcount and payroll'!E11,'Monthly headcount and payroll'!E12)</f>
        <v>0</v>
      </c>
      <c r="F15" s="8">
        <f>SUM('Monthly headcount and payroll'!F10,'Monthly headcount and payroll'!F11,'Monthly headcount and payroll'!F12)</f>
        <v>0</v>
      </c>
      <c r="G15" s="8">
        <f>SUM('Monthly headcount and payroll'!G10,'Monthly headcount and payroll'!G11,'Monthly headcount and payroll'!G12)</f>
        <v>0</v>
      </c>
      <c r="H15" s="8">
        <f>SUM('Monthly headcount and payroll'!H10,'Monthly headcount and payroll'!H11,'Monthly headcount and payroll'!H12)</f>
        <v>0</v>
      </c>
      <c r="I15" s="8">
        <f>SUM('Monthly headcount and payroll'!I10,'Monthly headcount and payroll'!I11,'Monthly headcount and payroll'!I12)</f>
        <v>0</v>
      </c>
      <c r="J15" s="8">
        <f>SUM('Monthly headcount and payroll'!J10,'Monthly headcount and payroll'!J11,'Monthly headcount and payroll'!J12)</f>
        <v>0</v>
      </c>
      <c r="K15" s="8">
        <f>SUM('Monthly headcount and payroll'!K10,'Monthly headcount and payroll'!K11,'Monthly headcount and payroll'!K12)</f>
        <v>0</v>
      </c>
      <c r="L15" s="8">
        <f>SUM('Monthly headcount and payroll'!L10,'Monthly headcount and payroll'!L11,'Monthly headcount and payroll'!L12)</f>
        <v>0</v>
      </c>
      <c r="M15" s="8">
        <f>SUM('Monthly headcount and payroll'!M10,'Monthly headcount and payroll'!M11,'Monthly headcount and payroll'!M12)</f>
        <v>0</v>
      </c>
    </row>
    <row r="16">
      <c r="A16" t="inlineStr" s="7">
        <is>
          <t xml:space="preserve">Total forecast costs</t>
        </is>
      </c>
      <c r="B16" s="8">
        <f>'Monthly revenue cost and runway'!B11+'Monthly revenue cost and runway'!B14+'Monthly revenue cost and runway'!B15</f>
        <v>203.7</v>
      </c>
      <c r="C16" s="8">
        <f>'Monthly revenue cost and runway'!C11+'Monthly revenue cost and runway'!C14+'Monthly revenue cost and runway'!C15</f>
        <v>345.4545454545455</v>
      </c>
      <c r="D16" s="8">
        <f>'Monthly revenue cost and runway'!D11+'Monthly revenue cost and runway'!D14+'Monthly revenue cost and runway'!D15</f>
        <v>487.20909090909095</v>
      </c>
      <c r="E16" s="8">
        <f>'Monthly revenue cost and runway'!E11+'Monthly revenue cost and runway'!E14+'Monthly revenue cost and runway'!E15</f>
        <v>628.9636363636364</v>
      </c>
      <c r="F16" s="8">
        <f>'Monthly revenue cost and runway'!F11+'Monthly revenue cost and runway'!F14+'Monthly revenue cost and runway'!F15</f>
        <v>770.7181818181818</v>
      </c>
      <c r="G16" s="8">
        <f>'Monthly revenue cost and runway'!G11+'Monthly revenue cost and runway'!G14+'Monthly revenue cost and runway'!G15</f>
        <v>912.4727272727273</v>
      </c>
      <c r="H16" s="8">
        <f>'Monthly revenue cost and runway'!H11+'Monthly revenue cost and runway'!H14+'Monthly revenue cost and runway'!H15</f>
        <v>1054.2272727272727</v>
      </c>
      <c r="I16" s="8">
        <f>'Monthly revenue cost and runway'!I11+'Monthly revenue cost and runway'!I14+'Monthly revenue cost and runway'!I15</f>
        <v>1195.9818181818182</v>
      </c>
      <c r="J16" s="8">
        <f>'Monthly revenue cost and runway'!J11+'Monthly revenue cost and runway'!J14+'Monthly revenue cost and runway'!J15</f>
        <v>1492.7363636363636</v>
      </c>
      <c r="K16" s="8">
        <f>'Monthly revenue cost and runway'!K11+'Monthly revenue cost and runway'!K14+'Monthly revenue cost and runway'!K15</f>
        <v>1634.490909090909</v>
      </c>
      <c r="L16" s="8">
        <f>'Monthly revenue cost and runway'!L11+'Monthly revenue cost and runway'!L14+'Monthly revenue cost and runway'!L15</f>
        <v>1776.2454545454545</v>
      </c>
      <c r="M16" s="8">
        <f>'Monthly revenue cost and runway'!M11+'Monthly revenue cost and runway'!M14+'Monthly revenue cost and runway'!M15</f>
        <v>1918</v>
      </c>
    </row>
    <row r="17">
      <c r="A17" t="inlineStr" s="7">
        <is>
          <t xml:space="preserve">Net forecast profit</t>
        </is>
      </c>
      <c r="B17" s="8">
        <f>'Monthly revenue cost and runway'!B5-'Monthly revenue cost and runway'!B16</f>
        <v>-45.69999999999999</v>
      </c>
      <c r="C17" s="8">
        <f>'Monthly revenue cost and runway'!C5-'Monthly revenue cost and runway'!C16</f>
        <v>85.45454545454544</v>
      </c>
      <c r="D17" s="8">
        <f>'Monthly revenue cost and runway'!D5-'Monthly revenue cost and runway'!D16</f>
        <v>216.60909090909092</v>
      </c>
      <c r="E17" s="8">
        <f>'Monthly revenue cost and runway'!E5-'Monthly revenue cost and runway'!E16</f>
        <v>347.76363636363635</v>
      </c>
      <c r="F17" s="8">
        <f>'Monthly revenue cost and runway'!F5-'Monthly revenue cost and runway'!F16</f>
        <v>478.9181818181819</v>
      </c>
      <c r="G17" s="8">
        <f>'Monthly revenue cost and runway'!G5-'Monthly revenue cost and runway'!G16</f>
        <v>610.0727272727272</v>
      </c>
      <c r="H17" s="8">
        <f>'Monthly revenue cost and runway'!H5-'Monthly revenue cost and runway'!H16</f>
        <v>741.2272727272727</v>
      </c>
      <c r="I17" s="8">
        <f>'Monthly revenue cost and runway'!I5-'Monthly revenue cost and runway'!I16</f>
        <v>872.3818181818183</v>
      </c>
      <c r="J17" s="8">
        <f>'Monthly revenue cost and runway'!J5-'Monthly revenue cost and runway'!J16</f>
        <v>2348.5363636363636</v>
      </c>
      <c r="K17" s="8">
        <f>'Monthly revenue cost and runway'!K5-'Monthly revenue cost and runway'!K16</f>
        <v>2479.690909090909</v>
      </c>
      <c r="L17" s="8">
        <f>'Monthly revenue cost and runway'!L5-'Monthly revenue cost and runway'!L16</f>
        <v>2610.8454545454542</v>
      </c>
      <c r="M17" s="8">
        <f>'Monthly revenue cost and runway'!M5-'Monthly revenue cost and runway'!M16</f>
        <v>2742</v>
      </c>
    </row>
    <row r="18">
      <c r="A18" t="inlineStr" s="7">
        <is>
          <t xml:space="preserve">Net monthly burn</t>
        </is>
      </c>
      <c r="B18" s="8">
        <f>MAX(-'Monthly revenue cost and runway'!B17,0)</f>
        <v>45.69999999999999</v>
      </c>
      <c r="C18" s="8">
        <f>MAX(-'Monthly revenue cost and runway'!C17,0)</f>
        <v>0</v>
      </c>
      <c r="D18" s="8">
        <f>MAX(-'Monthly revenue cost and runway'!D17,0)</f>
        <v>0</v>
      </c>
      <c r="E18" s="8">
        <f>MAX(-'Monthly revenue cost and runway'!E17,0)</f>
        <v>0</v>
      </c>
      <c r="F18" s="8">
        <f>MAX(-'Monthly revenue cost and runway'!F17,0)</f>
        <v>0</v>
      </c>
      <c r="G18" s="8">
        <f>MAX(-'Monthly revenue cost and runway'!G17,0)</f>
        <v>0</v>
      </c>
      <c r="H18" s="8">
        <f>MAX(-'Monthly revenue cost and runway'!H17,0)</f>
        <v>0</v>
      </c>
      <c r="I18" s="8">
        <f>MAX(-'Monthly revenue cost and runway'!I17,0)</f>
        <v>0</v>
      </c>
      <c r="J18" s="8">
        <f>MAX(-'Monthly revenue cost and runway'!J17,0)</f>
        <v>0</v>
      </c>
      <c r="K18" s="8">
        <f>MAX(-'Monthly revenue cost and runway'!K17,0)</f>
        <v>0</v>
      </c>
      <c r="L18" s="8">
        <f>MAX(-'Monthly revenue cost and runway'!L17,0)</f>
        <v>0</v>
      </c>
      <c r="M18" s="8">
        <f>MAX(-'Monthly revenue cost and runway'!M17,0)</f>
        <v>0</v>
      </c>
    </row>
    <row r="19">
      <c r="A19" t="inlineStr" s="7">
        <is>
          <t xml:space="preserve">Forecast cash balance</t>
        </is>
      </c>
      <c r="B19" s="8">
        <f>IF(IF(IF(IF(ISERROR('Customers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costs'!B5=1))),IF('Model inputs'!B40="","",'Model inputs'!B40),IF('Model inputs'!D16="","",'Model inputs'!D16))="",0,IF(IF(IF(ISERROR('Customers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costs'!B5=1))),IF('Model inputs'!B40="","",'Model inputs'!B40),IF('Model inputs'!D16="","",'Model inputs'!D16)))+'Monthly revenue cost and runway'!B17</f>
        <v>-45.69999999999999</v>
      </c>
      <c r="C19" s="8">
        <f>IF(IF(IF(IF(ISERROR('Customers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costs'!C5=1))),IF('Model inputs'!B40="","",'Model inputs'!B40),IF('Monthly revenue cost and runway'!B19="","",'Monthly revenue cost and runway'!B19))="",0,IF(IF(IF(ISERROR('Customers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costs'!C5=1))),IF('Model inputs'!B40="","",'Model inputs'!B40),IF('Monthly revenue cost and runway'!B19="","",'Monthly revenue cost and runway'!B19)))+'Monthly revenue cost and runway'!C17</f>
        <v>39.75454545454545</v>
      </c>
      <c r="D19" s="8">
        <f>IF(IF(IF(IF(ISERROR('Customers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costs'!D5=1))),IF('Model inputs'!B40="","",'Model inputs'!B40),IF('Monthly revenue cost and runway'!C19="","",'Monthly revenue cost and runway'!C19))="",0,IF(IF(IF(ISERROR('Customers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costs'!D5=1))),IF('Model inputs'!B40="","",'Model inputs'!B40),IF('Monthly revenue cost and runway'!C19="","",'Monthly revenue cost and runway'!C19)))+'Monthly revenue cost and runway'!D17</f>
        <v>256.3636363636364</v>
      </c>
      <c r="E19" s="8">
        <f>IF(IF(IF(IF(ISERROR('Customers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costs'!E5=1))),IF('Model inputs'!B40="","",'Model inputs'!B40),IF('Monthly revenue cost and runway'!D19="","",'Monthly revenue cost and runway'!D19))="",0,IF(IF(IF(ISERROR('Customers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costs'!E5=1))),IF('Model inputs'!B40="","",'Model inputs'!B40),IF('Monthly revenue cost and runway'!D19="","",'Monthly revenue cost and runway'!D19)))+'Monthly revenue cost and runway'!E17</f>
        <v>604.1272727272727</v>
      </c>
      <c r="F19" s="8">
        <f>IF(IF(IF(IF(ISERROR('Customers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costs'!F5=1))),IF('Model inputs'!B40="","",'Model inputs'!B40),IF('Monthly revenue cost and runway'!E19="","",'Monthly revenue cost and runway'!E19))="",0,IF(IF(IF(ISERROR('Customers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costs'!F5=1))),IF('Model inputs'!B40="","",'Model inputs'!B40),IF('Monthly revenue cost and runway'!E19="","",'Monthly revenue cost and runway'!E19)))+'Monthly revenue cost and runway'!F17</f>
        <v>1083.0454545454545</v>
      </c>
      <c r="G19" s="8">
        <f>IF(IF(IF(IF(ISERROR('Customers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costs'!G5=1))),IF('Model inputs'!B40="","",'Model inputs'!B40),IF('Monthly revenue cost and runway'!F19="","",'Monthly revenue cost and runway'!F19))="",0,IF(IF(IF(ISERROR('Customers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costs'!G5=1))),IF('Model inputs'!B40="","",'Model inputs'!B40),IF('Monthly revenue cost and runway'!F19="","",'Monthly revenue cost and runway'!F19)))+'Monthly revenue cost and runway'!G17</f>
        <v>1693.1181818181817</v>
      </c>
      <c r="H19" s="8">
        <f>IF(IF(IF(IF(ISERROR('Customers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costs'!H5=1))),IF('Model inputs'!B40="","",'Model inputs'!B40),IF('Monthly revenue cost and runway'!G19="","",'Monthly revenue cost and runway'!G19))="",0,IF(IF(IF(ISERROR('Customers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costs'!H5=1))),IF('Model inputs'!B40="","",'Model inputs'!B40),IF('Monthly revenue cost and runway'!G19="","",'Monthly revenue cost and runway'!G19)))+'Monthly revenue cost and runway'!H17</f>
        <v>2434.3454545454542</v>
      </c>
      <c r="I19" s="8">
        <f>IF(IF(IF(IF(ISERROR('Customers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costs'!I5=1))),IF('Model inputs'!B40="","",'Model inputs'!B40),IF('Monthly revenue cost and runway'!H19="","",'Monthly revenue cost and runway'!H19))="",0,IF(IF(IF(ISERROR('Customers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costs'!I5=1))),IF('Model inputs'!B40="","",'Model inputs'!B40),IF('Monthly revenue cost and runway'!H19="","",'Monthly revenue cost and runway'!H19)))+'Monthly revenue cost and runway'!I17</f>
        <v>3306.7272727272725</v>
      </c>
      <c r="J19" s="8">
        <f>IF(IF(IF(IF(ISERROR('Customers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costs'!J5=1))),IF('Model inputs'!B40="","",'Model inputs'!B40),IF('Monthly revenue cost and runway'!I19="","",'Monthly revenue cost and runway'!I19))="",0,IF(IF(IF(ISERROR('Customers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costs'!J5=1))),IF('Model inputs'!B40="","",'Model inputs'!B40),IF('Monthly revenue cost and runway'!I19="","",'Monthly revenue cost and runway'!I19)))+'Monthly revenue cost and runway'!J17</f>
        <v>5655.263636363636</v>
      </c>
      <c r="K19" s="8">
        <f>IF(IF(IF(IF(ISERROR('Customers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costs'!K5=1))),IF('Model inputs'!B40="","",'Model inputs'!B40),IF('Monthly revenue cost and runway'!J19="","",'Monthly revenue cost and runway'!J19))="",0,IF(IF(IF(ISERROR('Customers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costs'!K5=1))),IF('Model inputs'!B40="","",'Model inputs'!B40),IF('Monthly revenue cost and runway'!J19="","",'Monthly revenue cost and runway'!J19)))+'Monthly revenue cost and runway'!K17</f>
        <v>8134.954545454544</v>
      </c>
      <c r="L19" s="8">
        <f>IF(IF(IF(IF(ISERROR('Customers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costs'!L5=1))),IF('Model inputs'!B40="","",'Model inputs'!B40),IF('Monthly revenue cost and runway'!K19="","",'Monthly revenue cost and runway'!K19))="",0,IF(IF(IF(ISERROR('Customers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costs'!L5=1))),IF('Model inputs'!B40="","",'Model inputs'!B40),IF('Monthly revenue cost and runway'!K19="","",'Monthly revenue cost and runway'!K19)))+'Monthly revenue cost and runway'!L17</f>
        <v>10745.8</v>
      </c>
      <c r="M19" s="8">
        <f>IF(IF(IF(IF(ISERROR('Customers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costs'!M5=1))),IF('Model inputs'!B40="","",'Model inputs'!B40),IF('Monthly revenue cost and runway'!L19="","",'Monthly revenue cost and runway'!L19))="",0,IF(IF(IF(ISERROR('Customers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costs'!M5=1))),IF('Model inputs'!B40="","",'Model inputs'!B40),IF('Monthly revenue cost and runway'!L19="","",'Monthly revenue cost and runway'!L19)))+'Monthly revenue cost and runway'!M17</f>
        <v>13487.8</v>
      </c>
    </row>
    <row r="20">
      <c r="A20" t="inlineStr" s="7">
        <is>
          <t xml:space="preserve">Funding needed to date</t>
        </is>
      </c>
      <c r="B20" s="8">
        <f>MAX(IF(IF(IF(ISERROR('Customers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costs'!B5=1))),0,IF('Model inputs'!D30="","",'Model inputs'!D30)),MAX(-'Monthly revenue cost and runway'!B19,0))</f>
        <v>45.69999999999999</v>
      </c>
      <c r="C20" s="8">
        <f>MAX(IF(IF(IF(ISERROR('Customers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costs'!C5=1))),0,IF('Monthly revenue cost and runway'!B20="","",'Monthly revenue cost and runway'!B20)),MAX(-'Monthly revenue cost and runway'!C19,0))</f>
        <v>45.69999999999999</v>
      </c>
      <c r="D20" s="8">
        <f>MAX(IF(IF(IF(ISERROR('Customers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costs'!D5=1))),0,IF('Monthly revenue cost and runway'!C20="","",'Monthly revenue cost and runway'!C20)),MAX(-'Monthly revenue cost and runway'!D19,0))</f>
        <v>45.69999999999999</v>
      </c>
      <c r="E20" s="8">
        <f>MAX(IF(IF(IF(ISERROR('Customers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costs'!E5=1))),0,IF('Monthly revenue cost and runway'!D20="","",'Monthly revenue cost and runway'!D20)),MAX(-'Monthly revenue cost and runway'!E19,0))</f>
        <v>45.69999999999999</v>
      </c>
      <c r="F20" s="8">
        <f>MAX(IF(IF(IF(ISERROR('Customers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costs'!F5=1))),0,IF('Monthly revenue cost and runway'!E20="","",'Monthly revenue cost and runway'!E20)),MAX(-'Monthly revenue cost and runway'!F19,0))</f>
        <v>45.69999999999999</v>
      </c>
      <c r="G20" s="8">
        <f>MAX(IF(IF(IF(ISERROR('Customers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costs'!G5=1))),0,IF('Monthly revenue cost and runway'!F20="","",'Monthly revenue cost and runway'!F20)),MAX(-'Monthly revenue cost and runway'!G19,0))</f>
        <v>45.69999999999999</v>
      </c>
      <c r="H20" s="8">
        <f>MAX(IF(IF(IF(ISERROR('Customers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costs'!H5=1))),0,IF('Monthly revenue cost and runway'!G20="","",'Monthly revenue cost and runway'!G20)),MAX(-'Monthly revenue cost and runway'!H19,0))</f>
        <v>45.69999999999999</v>
      </c>
      <c r="I20" s="8">
        <f>MAX(IF(IF(IF(ISERROR('Customers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costs'!I5=1))),0,IF('Monthly revenue cost and runway'!H20="","",'Monthly revenue cost and runway'!H20)),MAX(-'Monthly revenue cost and runway'!I19,0))</f>
        <v>45.69999999999999</v>
      </c>
      <c r="J20" s="8">
        <f>MAX(IF(IF(IF(ISERROR('Customers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costs'!J5=1))),0,IF('Monthly revenue cost and runway'!I20="","",'Monthly revenue cost and runway'!I20)),MAX(-'Monthly revenue cost and runway'!J19,0))</f>
        <v>45.69999999999999</v>
      </c>
      <c r="K20" s="8">
        <f>MAX(IF(IF(IF(ISERROR('Customers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costs'!K5=1))),0,IF('Monthly revenue cost and runway'!J20="","",'Monthly revenue cost and runway'!J20)),MAX(-'Monthly revenue cost and runway'!K19,0))</f>
        <v>45.69999999999999</v>
      </c>
      <c r="L20" s="8">
        <f>MAX(IF(IF(IF(ISERROR('Customers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costs'!L5=1))),0,IF('Monthly revenue cost and runway'!K20="","",'Monthly revenue cost and runway'!K20)),MAX(-'Monthly revenue cost and runway'!L19,0))</f>
        <v>45.69999999999999</v>
      </c>
      <c r="M20" s="8">
        <f>MAX(IF(IF(IF(ISERROR('Customers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costs'!M5=1))),0,IF('Monthly revenue cost and runway'!L20="","",'Monthly revenue cost and runway'!L20)),MAX(-'Monthly revenue cost and runway'!M19,0))</f>
        <v>45.69999999999999</v>
      </c>
    </row>
    <row r="21">
      <c r="A21" t="inlineStr" s="7">
        <is>
          <t xml:space="preserve">Runway months</t>
        </is>
      </c>
      <c r="B21" s="11">
        <f>IF(IF(IF(ISERROR('Monthly revenue cost and runway'!B19&lt;=0),'Monthly revenue cost and runway'!B19&lt;=0,IF('Monthly revenue cost and runway'!B19="","",'Monthly revenue cost and runway'!B19&lt;=0))="",FALSE,IF(ISERROR('Monthly revenue cost and runway'!B19&lt;=0),'Monthly revenue cost and runway'!B19&lt;=0,IF('Monthly revenue cost and runway'!B19="","",'Monthly revenue cost and runway'!B19&lt;=0))),0,IF(IF(IF(ISERROR('Monthly revenue cost and runway'!B17&lt;0),'Monthly revenue cost and runway'!B17&lt;0,IF('Monthly revenue cost and runway'!B17="","",'Monthly revenue cost and runway'!B17&lt;0))="",FALSE,IF(ISERROR('Monthly revenue cost and runway'!B17&lt;0),'Monthly revenue cost and runway'!B17&lt;0,IF('Monthly revenue cost and runway'!B17="","",'Monthly revenue cost and runway'!B17&lt;0))),'Monthly revenue cost and runway'!B19/-'Monthly revenue cost and runway'!B17,""))</f>
        <v>0</v>
      </c>
      <c r="C21" t="str" s="11">
        <f>IF(IF(IF(ISERROR('Monthly revenue cost and runway'!C19&lt;=0),'Monthly revenue cost and runway'!C19&lt;=0,IF('Monthly revenue cost and runway'!C19="","",'Monthly revenue cost and runway'!C19&lt;=0))="",FALSE,IF(ISERROR('Monthly revenue cost and runway'!C19&lt;=0),'Monthly revenue cost and runway'!C19&lt;=0,IF('Monthly revenue cost and runway'!C19="","",'Monthly revenue cost and runway'!C19&lt;=0))),0,IF(IF(IF(ISERROR('Monthly revenue cost and runway'!C17&lt;0),'Monthly revenue cost and runway'!C17&lt;0,IF('Monthly revenue cost and runway'!C17="","",'Monthly revenue cost and runway'!C17&lt;0))="",FALSE,IF(ISERROR('Monthly revenue cost and runway'!C17&lt;0),'Monthly revenue cost and runway'!C17&lt;0,IF('Monthly revenue cost and runway'!C17="","",'Monthly revenue cost and runway'!C17&lt;0))),'Monthly revenue cost and runway'!C19/-'Monthly revenue cost and runway'!C17,""))</f>
        <v/>
      </c>
      <c r="D21" t="str" s="11">
        <f>IF(IF(IF(ISERROR('Monthly revenue cost and runway'!D19&lt;=0),'Monthly revenue cost and runway'!D19&lt;=0,IF('Monthly revenue cost and runway'!D19="","",'Monthly revenue cost and runway'!D19&lt;=0))="",FALSE,IF(ISERROR('Monthly revenue cost and runway'!D19&lt;=0),'Monthly revenue cost and runway'!D19&lt;=0,IF('Monthly revenue cost and runway'!D19="","",'Monthly revenue cost and runway'!D19&lt;=0))),0,IF(IF(IF(ISERROR('Monthly revenue cost and runway'!D17&lt;0),'Monthly revenue cost and runway'!D17&lt;0,IF('Monthly revenue cost and runway'!D17="","",'Monthly revenue cost and runway'!D17&lt;0))="",FALSE,IF(ISERROR('Monthly revenue cost and runway'!D17&lt;0),'Monthly revenue cost and runway'!D17&lt;0,IF('Monthly revenue cost and runway'!D17="","",'Monthly revenue cost and runway'!D17&lt;0))),'Monthly revenue cost and runway'!D19/-'Monthly revenue cost and runway'!D17,""))</f>
        <v/>
      </c>
      <c r="E21" t="str" s="11">
        <f>IF(IF(IF(ISERROR('Monthly revenue cost and runway'!E19&lt;=0),'Monthly revenue cost and runway'!E19&lt;=0,IF('Monthly revenue cost and runway'!E19="","",'Monthly revenue cost and runway'!E19&lt;=0))="",FALSE,IF(ISERROR('Monthly revenue cost and runway'!E19&lt;=0),'Monthly revenue cost and runway'!E19&lt;=0,IF('Monthly revenue cost and runway'!E19="","",'Monthly revenue cost and runway'!E19&lt;=0))),0,IF(IF(IF(ISERROR('Monthly revenue cost and runway'!E17&lt;0),'Monthly revenue cost and runway'!E17&lt;0,IF('Monthly revenue cost and runway'!E17="","",'Monthly revenue cost and runway'!E17&lt;0))="",FALSE,IF(ISERROR('Monthly revenue cost and runway'!E17&lt;0),'Monthly revenue cost and runway'!E17&lt;0,IF('Monthly revenue cost and runway'!E17="","",'Monthly revenue cost and runway'!E17&lt;0))),'Monthly revenue cost and runway'!E19/-'Monthly revenue cost and runway'!E17,""))</f>
        <v/>
      </c>
      <c r="F21" t="str" s="11">
        <f>IF(IF(IF(ISERROR('Monthly revenue cost and runway'!F19&lt;=0),'Monthly revenue cost and runway'!F19&lt;=0,IF('Monthly revenue cost and runway'!F19="","",'Monthly revenue cost and runway'!F19&lt;=0))="",FALSE,IF(ISERROR('Monthly revenue cost and runway'!F19&lt;=0),'Monthly revenue cost and runway'!F19&lt;=0,IF('Monthly revenue cost and runway'!F19="","",'Monthly revenue cost and runway'!F19&lt;=0))),0,IF(IF(IF(ISERROR('Monthly revenue cost and runway'!F17&lt;0),'Monthly revenue cost and runway'!F17&lt;0,IF('Monthly revenue cost and runway'!F17="","",'Monthly revenue cost and runway'!F17&lt;0))="",FALSE,IF(ISERROR('Monthly revenue cost and runway'!F17&lt;0),'Monthly revenue cost and runway'!F17&lt;0,IF('Monthly revenue cost and runway'!F17="","",'Monthly revenue cost and runway'!F17&lt;0))),'Monthly revenue cost and runway'!F19/-'Monthly revenue cost and runway'!F17,""))</f>
        <v/>
      </c>
      <c r="G21" t="str" s="11">
        <f>IF(IF(IF(ISERROR('Monthly revenue cost and runway'!G19&lt;=0),'Monthly revenue cost and runway'!G19&lt;=0,IF('Monthly revenue cost and runway'!G19="","",'Monthly revenue cost and runway'!G19&lt;=0))="",FALSE,IF(ISERROR('Monthly revenue cost and runway'!G19&lt;=0),'Monthly revenue cost and runway'!G19&lt;=0,IF('Monthly revenue cost and runway'!G19="","",'Monthly revenue cost and runway'!G19&lt;=0))),0,IF(IF(IF(ISERROR('Monthly revenue cost and runway'!G17&lt;0),'Monthly revenue cost and runway'!G17&lt;0,IF('Monthly revenue cost and runway'!G17="","",'Monthly revenue cost and runway'!G17&lt;0))="",FALSE,IF(ISERROR('Monthly revenue cost and runway'!G17&lt;0),'Monthly revenue cost and runway'!G17&lt;0,IF('Monthly revenue cost and runway'!G17="","",'Monthly revenue cost and runway'!G17&lt;0))),'Monthly revenue cost and runway'!G19/-'Monthly revenue cost and runway'!G17,""))</f>
        <v/>
      </c>
      <c r="H21" t="str" s="11">
        <f>IF(IF(IF(ISERROR('Monthly revenue cost and runway'!H19&lt;=0),'Monthly revenue cost and runway'!H19&lt;=0,IF('Monthly revenue cost and runway'!H19="","",'Monthly revenue cost and runway'!H19&lt;=0))="",FALSE,IF(ISERROR('Monthly revenue cost and runway'!H19&lt;=0),'Monthly revenue cost and runway'!H19&lt;=0,IF('Monthly revenue cost and runway'!H19="","",'Monthly revenue cost and runway'!H19&lt;=0))),0,IF(IF(IF(ISERROR('Monthly revenue cost and runway'!H17&lt;0),'Monthly revenue cost and runway'!H17&lt;0,IF('Monthly revenue cost and runway'!H17="","",'Monthly revenue cost and runway'!H17&lt;0))="",FALSE,IF(ISERROR('Monthly revenue cost and runway'!H17&lt;0),'Monthly revenue cost and runway'!H17&lt;0,IF('Monthly revenue cost and runway'!H17="","",'Monthly revenue cost and runway'!H17&lt;0))),'Monthly revenue cost and runway'!H19/-'Monthly revenue cost and runway'!H17,""))</f>
        <v/>
      </c>
      <c r="I21" t="str" s="11">
        <f>IF(IF(IF(ISERROR('Monthly revenue cost and runway'!I19&lt;=0),'Monthly revenue cost and runway'!I19&lt;=0,IF('Monthly revenue cost and runway'!I19="","",'Monthly revenue cost and runway'!I19&lt;=0))="",FALSE,IF(ISERROR('Monthly revenue cost and runway'!I19&lt;=0),'Monthly revenue cost and runway'!I19&lt;=0,IF('Monthly revenue cost and runway'!I19="","",'Monthly revenue cost and runway'!I19&lt;=0))),0,IF(IF(IF(ISERROR('Monthly revenue cost and runway'!I17&lt;0),'Monthly revenue cost and runway'!I17&lt;0,IF('Monthly revenue cost and runway'!I17="","",'Monthly revenue cost and runway'!I17&lt;0))="",FALSE,IF(ISERROR('Monthly revenue cost and runway'!I17&lt;0),'Monthly revenue cost and runway'!I17&lt;0,IF('Monthly revenue cost and runway'!I17="","",'Monthly revenue cost and runway'!I17&lt;0))),'Monthly revenue cost and runway'!I19/-'Monthly revenue cost and runway'!I17,""))</f>
        <v/>
      </c>
      <c r="J21" t="str" s="11">
        <f>IF(IF(IF(ISERROR('Monthly revenue cost and runway'!J19&lt;=0),'Monthly revenue cost and runway'!J19&lt;=0,IF('Monthly revenue cost and runway'!J19="","",'Monthly revenue cost and runway'!J19&lt;=0))="",FALSE,IF(ISERROR('Monthly revenue cost and runway'!J19&lt;=0),'Monthly revenue cost and runway'!J19&lt;=0,IF('Monthly revenue cost and runway'!J19="","",'Monthly revenue cost and runway'!J19&lt;=0))),0,IF(IF(IF(ISERROR('Monthly revenue cost and runway'!J17&lt;0),'Monthly revenue cost and runway'!J17&lt;0,IF('Monthly revenue cost and runway'!J17="","",'Monthly revenue cost and runway'!J17&lt;0))="",FALSE,IF(ISERROR('Monthly revenue cost and runway'!J17&lt;0),'Monthly revenue cost and runway'!J17&lt;0,IF('Monthly revenue cost and runway'!J17="","",'Monthly revenue cost and runway'!J17&lt;0))),'Monthly revenue cost and runway'!J19/-'Monthly revenue cost and runway'!J17,""))</f>
        <v/>
      </c>
      <c r="K21" t="str" s="11">
        <f>IF(IF(IF(ISERROR('Monthly revenue cost and runway'!K19&lt;=0),'Monthly revenue cost and runway'!K19&lt;=0,IF('Monthly revenue cost and runway'!K19="","",'Monthly revenue cost and runway'!K19&lt;=0))="",FALSE,IF(ISERROR('Monthly revenue cost and runway'!K19&lt;=0),'Monthly revenue cost and runway'!K19&lt;=0,IF('Monthly revenue cost and runway'!K19="","",'Monthly revenue cost and runway'!K19&lt;=0))),0,IF(IF(IF(ISERROR('Monthly revenue cost and runway'!K17&lt;0),'Monthly revenue cost and runway'!K17&lt;0,IF('Monthly revenue cost and runway'!K17="","",'Monthly revenue cost and runway'!K17&lt;0))="",FALSE,IF(ISERROR('Monthly revenue cost and runway'!K17&lt;0),'Monthly revenue cost and runway'!K17&lt;0,IF('Monthly revenue cost and runway'!K17="","",'Monthly revenue cost and runway'!K17&lt;0))),'Monthly revenue cost and runway'!K19/-'Monthly revenue cost and runway'!K17,""))</f>
        <v/>
      </c>
      <c r="L21" t="str" s="11">
        <f>IF(IF(IF(ISERROR('Monthly revenue cost and runway'!L19&lt;=0),'Monthly revenue cost and runway'!L19&lt;=0,IF('Monthly revenue cost and runway'!L19="","",'Monthly revenue cost and runway'!L19&lt;=0))="",FALSE,IF(ISERROR('Monthly revenue cost and runway'!L19&lt;=0),'Monthly revenue cost and runway'!L19&lt;=0,IF('Monthly revenue cost and runway'!L19="","",'Monthly revenue cost and runway'!L19&lt;=0))),0,IF(IF(IF(ISERROR('Monthly revenue cost and runway'!L17&lt;0),'Monthly revenue cost and runway'!L17&lt;0,IF('Monthly revenue cost and runway'!L17="","",'Monthly revenue cost and runway'!L17&lt;0))="",FALSE,IF(ISERROR('Monthly revenue cost and runway'!L17&lt;0),'Monthly revenue cost and runway'!L17&lt;0,IF('Monthly revenue cost and runway'!L17="","",'Monthly revenue cost and runway'!L17&lt;0))),'Monthly revenue cost and runway'!L19/-'Monthly revenue cost and runway'!L17,""))</f>
        <v/>
      </c>
      <c r="M21" t="str" s="11">
        <f>IF(IF(IF(ISERROR('Monthly revenue cost and runway'!M19&lt;=0),'Monthly revenue cost and runway'!M19&lt;=0,IF('Monthly revenue cost and runway'!M19="","",'Monthly revenue cost and runway'!M19&lt;=0))="",FALSE,IF(ISERROR('Monthly revenue cost and runway'!M19&lt;=0),'Monthly revenue cost and runway'!M19&lt;=0,IF('Monthly revenue cost and runway'!M19="","",'Monthly revenue cost and runway'!M19&lt;=0))),0,IF(IF(IF(ISERROR('Monthly revenue cost and runway'!M17&lt;0),'Monthly revenue cost and runway'!M17&lt;0,IF('Monthly revenue cost and runway'!M17="","",'Monthly revenue cost and runway'!M17&lt;0))="",FALSE,IF(ISERROR('Monthly revenue cost and runway'!M17&lt;0),'Monthly revenue cost and runway'!M17&lt;0,IF('Monthly revenue cost and runway'!M17="","",'Monthly revenue cost and runway'!M17&lt;0))),'Monthly revenue cost and runway'!M19/-'Monthly revenue cost and runway'!M17,""))</f>
        <v/>
      </c>
    </row>
    <row r="22">
      <c r="A22" t="inlineStr" s="5">
        <is>
          <t xml:space="preserve">Cash runway status</t>
        </is>
      </c>
      <c r="B22" t="str" s="12">
        <f>IF(IF(IF(ISERROR('Monthly revenue cost and runway'!B19&lt;0),'Monthly revenue cost and runway'!B19&lt;0,IF('Monthly revenue cost and runway'!B19="","",'Monthly revenue cost and runway'!B19&lt;0))="",FALSE,IF(ISERROR('Monthly revenue cost and runway'!B19&lt;0),'Monthly revenue cost and runway'!B19&lt;0,IF('Monthly revenue cost and runway'!B19="","",'Monthly revenue cost and runway'!B19&lt;0))),"Funding required",IF(IF(IF(ISERROR('Monthly revenue cost and runway'!B17&lt;0),'Monthly revenue cost and runway'!B17&lt;0,IF('Monthly revenue cost and runway'!B17="","",'Monthly revenue cost and runway'!B17&lt;0))="",FALSE,IF(ISERROR('Monthly revenue cost and runway'!B17&lt;0),'Monthly revenue cost and runway'!B17&lt;0,IF('Monthly revenue cost and runway'!B17="","",'Monthly revenue cost and runway'!B17&lt;0))),"Burning cash","Cash-generating"))</f>
        <v>Funding required</v>
      </c>
      <c r="C22" t="str" s="12">
        <f>IF(IF(IF(ISERROR('Monthly revenue cost and runway'!C19&lt;0),'Monthly revenue cost and runway'!C19&lt;0,IF('Monthly revenue cost and runway'!C19="","",'Monthly revenue cost and runway'!C19&lt;0))="",FALSE,IF(ISERROR('Monthly revenue cost and runway'!C19&lt;0),'Monthly revenue cost and runway'!C19&lt;0,IF('Monthly revenue cost and runway'!C19="","",'Monthly revenue cost and runway'!C19&lt;0))),"Funding required",IF(IF(IF(ISERROR('Monthly revenue cost and runway'!C17&lt;0),'Monthly revenue cost and runway'!C17&lt;0,IF('Monthly revenue cost and runway'!C17="","",'Monthly revenue cost and runway'!C17&lt;0))="",FALSE,IF(ISERROR('Monthly revenue cost and runway'!C17&lt;0),'Monthly revenue cost and runway'!C17&lt;0,IF('Monthly revenue cost and runway'!C17="","",'Monthly revenue cost and runway'!C17&lt;0))),"Burning cash","Cash-generating"))</f>
        <v>Cash-generating</v>
      </c>
      <c r="D22" t="str" s="12">
        <f>IF(IF(IF(ISERROR('Monthly revenue cost and runway'!D19&lt;0),'Monthly revenue cost and runway'!D19&lt;0,IF('Monthly revenue cost and runway'!D19="","",'Monthly revenue cost and runway'!D19&lt;0))="",FALSE,IF(ISERROR('Monthly revenue cost and runway'!D19&lt;0),'Monthly revenue cost and runway'!D19&lt;0,IF('Monthly revenue cost and runway'!D19="","",'Monthly revenue cost and runway'!D19&lt;0))),"Funding required",IF(IF(IF(ISERROR('Monthly revenue cost and runway'!D17&lt;0),'Monthly revenue cost and runway'!D17&lt;0,IF('Monthly revenue cost and runway'!D17="","",'Monthly revenue cost and runway'!D17&lt;0))="",FALSE,IF(ISERROR('Monthly revenue cost and runway'!D17&lt;0),'Monthly revenue cost and runway'!D17&lt;0,IF('Monthly revenue cost and runway'!D17="","",'Monthly revenue cost and runway'!D17&lt;0))),"Burning cash","Cash-generating"))</f>
        <v>Cash-generating</v>
      </c>
      <c r="E22" t="str" s="12">
        <f>IF(IF(IF(ISERROR('Monthly revenue cost and runway'!E19&lt;0),'Monthly revenue cost and runway'!E19&lt;0,IF('Monthly revenue cost and runway'!E19="","",'Monthly revenue cost and runway'!E19&lt;0))="",FALSE,IF(ISERROR('Monthly revenue cost and runway'!E19&lt;0),'Monthly revenue cost and runway'!E19&lt;0,IF('Monthly revenue cost and runway'!E19="","",'Monthly revenue cost and runway'!E19&lt;0))),"Funding required",IF(IF(IF(ISERROR('Monthly revenue cost and runway'!E17&lt;0),'Monthly revenue cost and runway'!E17&lt;0,IF('Monthly revenue cost and runway'!E17="","",'Monthly revenue cost and runway'!E17&lt;0))="",FALSE,IF(ISERROR('Monthly revenue cost and runway'!E17&lt;0),'Monthly revenue cost and runway'!E17&lt;0,IF('Monthly revenue cost and runway'!E17="","",'Monthly revenue cost and runway'!E17&lt;0))),"Burning cash","Cash-generating"))</f>
        <v>Cash-generating</v>
      </c>
      <c r="F22" t="str" s="12">
        <f>IF(IF(IF(ISERROR('Monthly revenue cost and runway'!F19&lt;0),'Monthly revenue cost and runway'!F19&lt;0,IF('Monthly revenue cost and runway'!F19="","",'Monthly revenue cost and runway'!F19&lt;0))="",FALSE,IF(ISERROR('Monthly revenue cost and runway'!F19&lt;0),'Monthly revenue cost and runway'!F19&lt;0,IF('Monthly revenue cost and runway'!F19="","",'Monthly revenue cost and runway'!F19&lt;0))),"Funding required",IF(IF(IF(ISERROR('Monthly revenue cost and runway'!F17&lt;0),'Monthly revenue cost and runway'!F17&lt;0,IF('Monthly revenue cost and runway'!F17="","",'Monthly revenue cost and runway'!F17&lt;0))="",FALSE,IF(ISERROR('Monthly revenue cost and runway'!F17&lt;0),'Monthly revenue cost and runway'!F17&lt;0,IF('Monthly revenue cost and runway'!F17="","",'Monthly revenue cost and runway'!F17&lt;0))),"Burning cash","Cash-generating"))</f>
        <v>Cash-generating</v>
      </c>
      <c r="G22" t="str" s="12">
        <f>IF(IF(IF(ISERROR('Monthly revenue cost and runway'!G19&lt;0),'Monthly revenue cost and runway'!G19&lt;0,IF('Monthly revenue cost and runway'!G19="","",'Monthly revenue cost and runway'!G19&lt;0))="",FALSE,IF(ISERROR('Monthly revenue cost and runway'!G19&lt;0),'Monthly revenue cost and runway'!G19&lt;0,IF('Monthly revenue cost and runway'!G19="","",'Monthly revenue cost and runway'!G19&lt;0))),"Funding required",IF(IF(IF(ISERROR('Monthly revenue cost and runway'!G17&lt;0),'Monthly revenue cost and runway'!G17&lt;0,IF('Monthly revenue cost and runway'!G17="","",'Monthly revenue cost and runway'!G17&lt;0))="",FALSE,IF(ISERROR('Monthly revenue cost and runway'!G17&lt;0),'Monthly revenue cost and runway'!G17&lt;0,IF('Monthly revenue cost and runway'!G17="","",'Monthly revenue cost and runway'!G17&lt;0))),"Burning cash","Cash-generating"))</f>
        <v>Cash-generating</v>
      </c>
      <c r="H22" t="str" s="12">
        <f>IF(IF(IF(ISERROR('Monthly revenue cost and runway'!H19&lt;0),'Monthly revenue cost and runway'!H19&lt;0,IF('Monthly revenue cost and runway'!H19="","",'Monthly revenue cost and runway'!H19&lt;0))="",FALSE,IF(ISERROR('Monthly revenue cost and runway'!H19&lt;0),'Monthly revenue cost and runway'!H19&lt;0,IF('Monthly revenue cost and runway'!H19="","",'Monthly revenue cost and runway'!H19&lt;0))),"Funding required",IF(IF(IF(ISERROR('Monthly revenue cost and runway'!H17&lt;0),'Monthly revenue cost and runway'!H17&lt;0,IF('Monthly revenue cost and runway'!H17="","",'Monthly revenue cost and runway'!H17&lt;0))="",FALSE,IF(ISERROR('Monthly revenue cost and runway'!H17&lt;0),'Monthly revenue cost and runway'!H17&lt;0,IF('Monthly revenue cost and runway'!H17="","",'Monthly revenue cost and runway'!H17&lt;0))),"Burning cash","Cash-generating"))</f>
        <v>Cash-generating</v>
      </c>
      <c r="I22" t="str" s="12">
        <f>IF(IF(IF(ISERROR('Monthly revenue cost and runway'!I19&lt;0),'Monthly revenue cost and runway'!I19&lt;0,IF('Monthly revenue cost and runway'!I19="","",'Monthly revenue cost and runway'!I19&lt;0))="",FALSE,IF(ISERROR('Monthly revenue cost and runway'!I19&lt;0),'Monthly revenue cost and runway'!I19&lt;0,IF('Monthly revenue cost and runway'!I19="","",'Monthly revenue cost and runway'!I19&lt;0))),"Funding required",IF(IF(IF(ISERROR('Monthly revenue cost and runway'!I17&lt;0),'Monthly revenue cost and runway'!I17&lt;0,IF('Monthly revenue cost and runway'!I17="","",'Monthly revenue cost and runway'!I17&lt;0))="",FALSE,IF(ISERROR('Monthly revenue cost and runway'!I17&lt;0),'Monthly revenue cost and runway'!I17&lt;0,IF('Monthly revenue cost and runway'!I17="","",'Monthly revenue cost and runway'!I17&lt;0))),"Burning cash","Cash-generating"))</f>
        <v>Cash-generating</v>
      </c>
      <c r="J22" t="str" s="12">
        <f>IF(IF(IF(ISERROR('Monthly revenue cost and runway'!J19&lt;0),'Monthly revenue cost and runway'!J19&lt;0,IF('Monthly revenue cost and runway'!J19="","",'Monthly revenue cost and runway'!J19&lt;0))="",FALSE,IF(ISERROR('Monthly revenue cost and runway'!J19&lt;0),'Monthly revenue cost and runway'!J19&lt;0,IF('Monthly revenue cost and runway'!J19="","",'Monthly revenue cost and runway'!J19&lt;0))),"Funding required",IF(IF(IF(ISERROR('Monthly revenue cost and runway'!J17&lt;0),'Monthly revenue cost and runway'!J17&lt;0,IF('Monthly revenue cost and runway'!J17="","",'Monthly revenue cost and runway'!J17&lt;0))="",FALSE,IF(ISERROR('Monthly revenue cost and runway'!J17&lt;0),'Monthly revenue cost and runway'!J17&lt;0,IF('Monthly revenue cost and runway'!J17="","",'Monthly revenue cost and runway'!J17&lt;0))),"Burning cash","Cash-generating"))</f>
        <v>Cash-generating</v>
      </c>
      <c r="K22" t="str" s="12">
        <f>IF(IF(IF(ISERROR('Monthly revenue cost and runway'!K19&lt;0),'Monthly revenue cost and runway'!K19&lt;0,IF('Monthly revenue cost and runway'!K19="","",'Monthly revenue cost and runway'!K19&lt;0))="",FALSE,IF(ISERROR('Monthly revenue cost and runway'!K19&lt;0),'Monthly revenue cost and runway'!K19&lt;0,IF('Monthly revenue cost and runway'!K19="","",'Monthly revenue cost and runway'!K19&lt;0))),"Funding required",IF(IF(IF(ISERROR('Monthly revenue cost and runway'!K17&lt;0),'Monthly revenue cost and runway'!K17&lt;0,IF('Monthly revenue cost and runway'!K17="","",'Monthly revenue cost and runway'!K17&lt;0))="",FALSE,IF(ISERROR('Monthly revenue cost and runway'!K17&lt;0),'Monthly revenue cost and runway'!K17&lt;0,IF('Monthly revenue cost and runway'!K17="","",'Monthly revenue cost and runway'!K17&lt;0))),"Burning cash","Cash-generating"))</f>
        <v>Cash-generating</v>
      </c>
      <c r="L22" t="str" s="12">
        <f>IF(IF(IF(ISERROR('Monthly revenue cost and runway'!L19&lt;0),'Monthly revenue cost and runway'!L19&lt;0,IF('Monthly revenue cost and runway'!L19="","",'Monthly revenue cost and runway'!L19&lt;0))="",FALSE,IF(ISERROR('Monthly revenue cost and runway'!L19&lt;0),'Monthly revenue cost and runway'!L19&lt;0,IF('Monthly revenue cost and runway'!L19="","",'Monthly revenue cost and runway'!L19&lt;0))),"Funding required",IF(IF(IF(ISERROR('Monthly revenue cost and runway'!L17&lt;0),'Monthly revenue cost and runway'!L17&lt;0,IF('Monthly revenue cost and runway'!L17="","",'Monthly revenue cost and runway'!L17&lt;0))="",FALSE,IF(ISERROR('Monthly revenue cost and runway'!L17&lt;0),'Monthly revenue cost and runway'!L17&lt;0,IF('Monthly revenue cost and runway'!L17="","",'Monthly revenue cost and runway'!L17&lt;0))),"Burning cash","Cash-generating"))</f>
        <v>Cash-generating</v>
      </c>
      <c r="M22" t="str" s="12">
        <f>IF(IF(IF(ISERROR('Monthly revenue cost and runway'!M19&lt;0),'Monthly revenue cost and runway'!M19&lt;0,IF('Monthly revenue cost and runway'!M19="","",'Monthly revenue cost and runway'!M19&lt;0))="",FALSE,IF(ISERROR('Monthly revenue cost and runway'!M19&lt;0),'Monthly revenue cost and runway'!M19&lt;0,IF('Monthly revenue cost and runway'!M19="","",'Monthly revenue cost and runway'!M19&lt;0))),"Funding required",IF(IF(IF(ISERROR('Monthly revenue cost and runway'!M17&lt;0),'Monthly revenue cost and runway'!M17&lt;0,IF('Monthly revenue cost and runway'!M17="","",'Monthly revenue cost and runway'!M17&lt;0))="",FALSE,IF(ISERROR('Monthly revenue cost and runway'!M17&lt;0),'Monthly revenue cost and runway'!M17&lt;0,IF('Monthly revenue cost and runway'!M17="","",'Monthly revenue cost and runway'!M17&lt;0))),"Burning cash","Cash-generating"))</f>
        <v>Cash-generating</v>
      </c>
    </row>
  </sheetData>
  <mergeCells count="1">
    <mergeCell ref="A1:M1"/>
  </mergeCells>
</worksheet>
</file>

<file path=xl/worksheets/sheet3.xml><?xml version="1.0" encoding="utf-8"?>
<worksheet xmlns="http://schemas.openxmlformats.org/spreadsheetml/2006/main">
  <dimension ref="A1:M1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Customers revenue and run costs</t>
        </is>
      </c>
    </row>
    <row r="2" ht="20" customHeight="1">
      <c r="A2" t="inlineStr" s="2">
        <is>
          <t xml:space="preserve">Susanoo — 12-Month Forecast · Susanoo —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9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9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9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9">
        <is>
          <t xml:space="preserve">2027-10</t>
        </is>
      </c>
    </row>
    <row r="5">
      <c r="A5" t="inlineStr" s="5">
        <is>
          <t xml:space="preserve">Forecast month</t>
        </is>
      </c>
      <c r="B5" s="12">
        <f>DATEDIF('Model inputs'!Q21,DATE(2026,11,1),"M")+1</f>
        <v>1</v>
      </c>
      <c r="C5" s="12">
        <f>DATEDIF('Model inputs'!Q21,DATE(2026,12,1),"M")+1</f>
        <v>2</v>
      </c>
      <c r="D5" s="12">
        <f>DATEDIF('Model inputs'!Q21,DATE(2027,1,1),"M")+1</f>
        <v>3</v>
      </c>
      <c r="E5" s="12">
        <f>DATEDIF('Model inputs'!Q21,DATE(2027,2,1),"M")+1</f>
        <v>4</v>
      </c>
      <c r="F5" s="12">
        <f>DATEDIF('Model inputs'!Q21,DATE(2027,3,1),"M")+1</f>
        <v>5</v>
      </c>
      <c r="G5" s="12">
        <f>DATEDIF('Model inputs'!Q21,DATE(2027,4,1),"M")+1</f>
        <v>6</v>
      </c>
      <c r="H5" s="12">
        <f>DATEDIF('Model inputs'!Q21,DATE(2027,5,1),"M")+1</f>
        <v>7</v>
      </c>
      <c r="I5" s="12">
        <f>DATEDIF('Model inputs'!Q21,DATE(2027,6,1),"M")+1</f>
        <v>8</v>
      </c>
      <c r="J5" s="12">
        <f>DATEDIF('Model inputs'!Q21,DATE(2027,7,1),"M")+1</f>
        <v>9</v>
      </c>
      <c r="K5" s="12">
        <f>DATEDIF('Model inputs'!Q21,DATE(2027,8,1),"M")+1</f>
        <v>10</v>
      </c>
      <c r="L5" s="12">
        <f>DATEDIF('Model inputs'!Q21,DATE(2027,9,1),"M")+1</f>
        <v>11</v>
      </c>
      <c r="M5" s="12">
        <f>DATEDIF('Model inputs'!Q21,DATE(2027,10,1),"M")+1</f>
        <v>12</v>
      </c>
    </row>
    <row r="6">
      <c r="A6" t="inlineStr" s="5">
        <is>
          <t xml:space="preserve">Forecast customers</t>
        </is>
      </c>
      <c r="B6" s="12">
        <f>SUM('Customers revenue and run costs'!B7,'Customers revenue and run costs'!B8,'Customers revenue and run costs'!B9)</f>
        <v>27</v>
      </c>
      <c r="C6" s="12">
        <f>SUM('Customers revenue and run costs'!C7,'Customers revenue and run costs'!C8,'Customers revenue and run costs'!C9)</f>
        <v>55.45454545454545</v>
      </c>
      <c r="D6" s="12">
        <f>SUM('Customers revenue and run costs'!D7,'Customers revenue and run costs'!D8,'Customers revenue and run costs'!D9)</f>
        <v>83.9090909090909</v>
      </c>
      <c r="E6" s="12">
        <f>SUM('Customers revenue and run costs'!E7,'Customers revenue and run costs'!E8,'Customers revenue and run costs'!E9)</f>
        <v>112.36363636363636</v>
      </c>
      <c r="F6" s="12">
        <f>SUM('Customers revenue and run costs'!F7,'Customers revenue and run costs'!F8,'Customers revenue and run costs'!F9)</f>
        <v>140.8181818181818</v>
      </c>
      <c r="G6" s="12">
        <f>SUM('Customers revenue and run costs'!G7,'Customers revenue and run costs'!G8,'Customers revenue and run costs'!G9)</f>
        <v>169.27272727272728</v>
      </c>
      <c r="H6" s="12">
        <f>SUM('Customers revenue and run costs'!H7,'Customers revenue and run costs'!H8,'Customers revenue and run costs'!H9)</f>
        <v>197.72727272727272</v>
      </c>
      <c r="I6" s="12">
        <f>SUM('Customers revenue and run costs'!I7,'Customers revenue and run costs'!I8,'Customers revenue and run costs'!I9)</f>
        <v>226.1818181818182</v>
      </c>
      <c r="J6" s="12">
        <f>SUM('Customers revenue and run costs'!J7,'Customers revenue and run costs'!J8,'Customers revenue and run costs'!J9)</f>
        <v>255.63636363636363</v>
      </c>
      <c r="K6" s="12">
        <f>SUM('Customers revenue and run costs'!K7,'Customers revenue and run costs'!K8,'Customers revenue and run costs'!K9)</f>
        <v>284.0909090909091</v>
      </c>
      <c r="L6" s="12">
        <f>SUM('Customers revenue and run costs'!L7,'Customers revenue and run costs'!L8,'Customers revenue and run costs'!L9)</f>
        <v>312.54545454545456</v>
      </c>
      <c r="M6" s="12">
        <f>SUM('Customers revenue and run costs'!M7,'Customers revenue and run costs'!M8,'Customers revenue and run costs'!M9)</f>
        <v>341</v>
      </c>
    </row>
    <row r="7" outlineLevel="1">
      <c r="A7" t="inlineStr" s="13">
        <is>
          <t xml:space="preserve">Enterprise</t>
        </is>
      </c>
      <c r="B7" s="14">
        <f>IF(EXACT("Enterprise","Enterprise"),IF(IF(IF(ISERROR('Customers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costs'!B5=1))),IF('Model inputs'!E10="","",'Model inputs'!E10),'Model inputs'!D57+'Model inputs'!E10),'Model inputs'!B37+('Model inputs'!B7-'Model inputs'!B37)*('Customers revenue and run costs'!B5-1)/('Model inputs'!Q18-1))</f>
        <v>0</v>
      </c>
      <c r="C7" s="14">
        <f>IF(EXACT("Enterprise","Enterprise"),IF(IF(IF(ISERROR('Customers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costs'!C5=1))),IF('Model inputs'!F10="","",'Model inputs'!F10),'Customers revenue and run costs'!B7+'Model inputs'!F10),'Model inputs'!B37+('Model inputs'!B7-'Model inputs'!B37)*('Customers revenue and run costs'!C5-1)/('Model inputs'!Q18-1))</f>
        <v>0</v>
      </c>
      <c r="D7" s="14">
        <f>IF(EXACT("Enterprise","Enterprise"),IF(IF(IF(ISERROR('Customers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costs'!D5=1))),IF('Model inputs'!G10="","",'Model inputs'!G10),'Customers revenue and run costs'!C7+'Model inputs'!G10),'Model inputs'!B37+('Model inputs'!B7-'Model inputs'!B37)*('Customers revenue and run costs'!D5-1)/('Model inputs'!Q18-1))</f>
        <v>0</v>
      </c>
      <c r="E7" s="14">
        <f>IF(EXACT("Enterprise","Enterprise"),IF(IF(IF(ISERROR('Customers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costs'!E5=1))),IF('Model inputs'!H10="","",'Model inputs'!H10),'Customers revenue and run costs'!D7+'Model inputs'!H10),'Model inputs'!B37+('Model inputs'!B7-'Model inputs'!B37)*('Customers revenue and run costs'!E5-1)/('Model inputs'!Q18-1))</f>
        <v>0</v>
      </c>
      <c r="F7" s="14">
        <f>IF(EXACT("Enterprise","Enterprise"),IF(IF(IF(ISERROR('Customers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costs'!F5=1))),IF('Model inputs'!I10="","",'Model inputs'!I10),'Customers revenue and run costs'!E7+'Model inputs'!I10),'Model inputs'!B37+('Model inputs'!B7-'Model inputs'!B37)*('Customers revenue and run costs'!F5-1)/('Model inputs'!Q18-1))</f>
        <v>0</v>
      </c>
      <c r="G7" s="14">
        <f>IF(EXACT("Enterprise","Enterprise"),IF(IF(IF(ISERROR('Customers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costs'!G5=1))),IF('Model inputs'!J10="","",'Model inputs'!J10),'Customers revenue and run costs'!F7+'Model inputs'!J10),'Model inputs'!B37+('Model inputs'!B7-'Model inputs'!B37)*('Customers revenue and run costs'!G5-1)/('Model inputs'!Q18-1))</f>
        <v>0</v>
      </c>
      <c r="H7" s="14">
        <f>IF(EXACT("Enterprise","Enterprise"),IF(IF(IF(ISERROR('Customers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costs'!H5=1))),IF('Model inputs'!K10="","",'Model inputs'!K10),'Customers revenue and run costs'!G7+'Model inputs'!K10),'Model inputs'!B37+('Model inputs'!B7-'Model inputs'!B37)*('Customers revenue and run costs'!H5-1)/('Model inputs'!Q18-1))</f>
        <v>0</v>
      </c>
      <c r="I7" s="14">
        <f>IF(EXACT("Enterprise","Enterprise"),IF(IF(IF(ISERROR('Customers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costs'!I5=1))),IF('Model inputs'!L10="","",'Model inputs'!L10),'Customers revenue and run costs'!H7+'Model inputs'!L10),'Model inputs'!B37+('Model inputs'!B7-'Model inputs'!B37)*('Customers revenue and run costs'!I5-1)/('Model inputs'!Q18-1))</f>
        <v>0</v>
      </c>
      <c r="J7" s="14">
        <f>IF(EXACT("Enterprise","Enterprise"),IF(IF(IF(ISERROR('Customers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costs'!J5=1))),IF('Model inputs'!M10="","",'Model inputs'!M10),'Customers revenue and run costs'!I7+'Model inputs'!M10),'Model inputs'!B37+('Model inputs'!B7-'Model inputs'!B37)*('Customers revenue and run costs'!J5-1)/('Model inputs'!Q18-1))</f>
        <v>1</v>
      </c>
      <c r="K7" s="14">
        <f>IF(EXACT("Enterprise","Enterprise"),IF(IF(IF(ISERROR('Customers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costs'!K5=1))),IF('Model inputs'!N10="","",'Model inputs'!N10),'Customers revenue and run costs'!J7+'Model inputs'!N10),'Model inputs'!B37+('Model inputs'!B7-'Model inputs'!B37)*('Customers revenue and run costs'!K5-1)/('Model inputs'!Q18-1))</f>
        <v>1</v>
      </c>
      <c r="L7" s="14">
        <f>IF(EXACT("Enterprise","Enterprise"),IF(IF(IF(ISERROR('Customers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costs'!L5=1))),IF('Model inputs'!O10="","",'Model inputs'!O10),'Customers revenue and run costs'!K7+'Model inputs'!O10),'Model inputs'!B37+('Model inputs'!B7-'Model inputs'!B37)*('Customers revenue and run costs'!L5-1)/('Model inputs'!Q18-1))</f>
        <v>1</v>
      </c>
      <c r="M7" s="14">
        <f>IF(EXACT("Enterprise","Enterprise"),IF(IF(IF(ISERROR('Customers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costs'!M5=1))),IF('Model inputs'!P10="","",'Model inputs'!P10),'Customers revenue and run costs'!L7+'Model inputs'!P10),'Model inputs'!B37+('Model inputs'!B7-'Model inputs'!B37)*('Customers revenue and run costs'!M5-1)/('Model inputs'!Q18-1))</f>
        <v>1</v>
      </c>
    </row>
    <row r="8" outlineLevel="1">
      <c r="A8" t="inlineStr" s="13">
        <is>
          <t xml:space="preserve">Free</t>
        </is>
      </c>
      <c r="B8" s="14">
        <f>IF(EXACT("Free","Enterprise"),IF(IF(IF(ISERROR('Customers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costs'!B5=1))),IF('Model inputs'!E10="","",'Model inputs'!E10),'Model inputs'!D58+'Model inputs'!E10),'Model inputs'!B38+('Model inputs'!B8-'Model inputs'!B38)*('Customers revenue and run costs'!B5-1)/('Model inputs'!Q18-1))</f>
        <v>25</v>
      </c>
      <c r="C8" s="14">
        <f>IF(EXACT("Free","Enterprise"),IF(IF(IF(ISERROR('Customers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costs'!C5=1))),IF('Model inputs'!F10="","",'Model inputs'!F10),'Customers revenue and run costs'!B8+'Model inputs'!F10),'Model inputs'!B38+('Model inputs'!B8-'Model inputs'!B38)*('Customers revenue and run costs'!C5-1)/('Model inputs'!Q18-1))</f>
        <v>50</v>
      </c>
      <c r="D8" s="14">
        <f>IF(EXACT("Free","Enterprise"),IF(IF(IF(ISERROR('Customers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costs'!D5=1))),IF('Model inputs'!G10="","",'Model inputs'!G10),'Customers revenue and run costs'!C8+'Model inputs'!G10),'Model inputs'!B38+('Model inputs'!B8-'Model inputs'!B38)*('Customers revenue and run costs'!D5-1)/('Model inputs'!Q18-1))</f>
        <v>75</v>
      </c>
      <c r="E8" s="14">
        <f>IF(EXACT("Free","Enterprise"),IF(IF(IF(ISERROR('Customers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costs'!E5=1))),IF('Model inputs'!H10="","",'Model inputs'!H10),'Customers revenue and run costs'!D8+'Model inputs'!H10),'Model inputs'!B38+('Model inputs'!B8-'Model inputs'!B38)*('Customers revenue and run costs'!E5-1)/('Model inputs'!Q18-1))</f>
        <v>100</v>
      </c>
      <c r="F8" s="14">
        <f>IF(EXACT("Free","Enterprise"),IF(IF(IF(ISERROR('Customers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costs'!F5=1))),IF('Model inputs'!I10="","",'Model inputs'!I10),'Customers revenue and run costs'!E8+'Model inputs'!I10),'Model inputs'!B38+('Model inputs'!B8-'Model inputs'!B38)*('Customers revenue and run costs'!F5-1)/('Model inputs'!Q18-1))</f>
        <v>125</v>
      </c>
      <c r="G8" s="14">
        <f>IF(EXACT("Free","Enterprise"),IF(IF(IF(ISERROR('Customers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costs'!G5=1))),IF('Model inputs'!J10="","",'Model inputs'!J10),'Customers revenue and run costs'!F8+'Model inputs'!J10),'Model inputs'!B38+('Model inputs'!B8-'Model inputs'!B38)*('Customers revenue and run costs'!G5-1)/('Model inputs'!Q18-1))</f>
        <v>150</v>
      </c>
      <c r="H8" s="14">
        <f>IF(EXACT("Free","Enterprise"),IF(IF(IF(ISERROR('Customers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costs'!H5=1))),IF('Model inputs'!K10="","",'Model inputs'!K10),'Customers revenue and run costs'!G8+'Model inputs'!K10),'Model inputs'!B38+('Model inputs'!B8-'Model inputs'!B38)*('Customers revenue and run costs'!H5-1)/('Model inputs'!Q18-1))</f>
        <v>175</v>
      </c>
      <c r="I8" s="14">
        <f>IF(EXACT("Free","Enterprise"),IF(IF(IF(ISERROR('Customers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costs'!I5=1))),IF('Model inputs'!L10="","",'Model inputs'!L10),'Customers revenue and run costs'!H8+'Model inputs'!L10),'Model inputs'!B38+('Model inputs'!B8-'Model inputs'!B38)*('Customers revenue and run costs'!I5-1)/('Model inputs'!Q18-1))</f>
        <v>200</v>
      </c>
      <c r="J8" s="14">
        <f>IF(EXACT("Free","Enterprise"),IF(IF(IF(ISERROR('Customers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costs'!J5=1))),IF('Model inputs'!M10="","",'Model inputs'!M10),'Customers revenue and run costs'!I8+'Model inputs'!M10),'Model inputs'!B38+('Model inputs'!B8-'Model inputs'!B38)*('Customers revenue and run costs'!J5-1)/('Model inputs'!Q18-1))</f>
        <v>225</v>
      </c>
      <c r="K8" s="14">
        <f>IF(EXACT("Free","Enterprise"),IF(IF(IF(ISERROR('Customers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costs'!K5=1))),IF('Model inputs'!N10="","",'Model inputs'!N10),'Customers revenue and run costs'!J8+'Model inputs'!N10),'Model inputs'!B38+('Model inputs'!B8-'Model inputs'!B38)*('Customers revenue and run costs'!K5-1)/('Model inputs'!Q18-1))</f>
        <v>250</v>
      </c>
      <c r="L8" s="14">
        <f>IF(EXACT("Free","Enterprise"),IF(IF(IF(ISERROR('Customers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costs'!L5=1))),IF('Model inputs'!O10="","",'Model inputs'!O10),'Customers revenue and run costs'!K8+'Model inputs'!O10),'Model inputs'!B38+('Model inputs'!B8-'Model inputs'!B38)*('Customers revenue and run costs'!L5-1)/('Model inputs'!Q18-1))</f>
        <v>275</v>
      </c>
      <c r="M8" s="14">
        <f>IF(EXACT("Free","Enterprise"),IF(IF(IF(ISERROR('Customers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costs'!M5=1))),IF('Model inputs'!P10="","",'Model inputs'!P10),'Customers revenue and run costs'!L8+'Model inputs'!P10),'Model inputs'!B38+('Model inputs'!B8-'Model inputs'!B38)*('Customers revenue and run costs'!M5-1)/('Model inputs'!Q18-1))</f>
        <v>300</v>
      </c>
    </row>
    <row r="9" outlineLevel="1">
      <c r="A9" t="inlineStr" s="13">
        <is>
          <t xml:space="preserve">Team</t>
        </is>
      </c>
      <c r="B9" s="14">
        <f>IF(EXACT("Team","Enterprise"),IF(IF(IF(ISERROR('Customers revenue and run costs'!B5=1),'Customers revenue and run costs'!B5=1,IF('Customers revenue and run costs'!B5="","",'Customers revenue and run costs'!B5=1))="",FALSE,IF(ISERROR('Customers revenue and run costs'!B5=1),'Customers revenue and run costs'!B5=1,IF('Customers revenue and run costs'!B5="","",'Customers revenue and run costs'!B5=1))),IF('Model inputs'!E10="","",'Model inputs'!E10),'Model inputs'!D59+'Model inputs'!E10),'Model inputs'!B39+('Model inputs'!B9-'Model inputs'!B39)*('Customers revenue and run costs'!B5-1)/('Model inputs'!Q18-1))</f>
        <v>2</v>
      </c>
      <c r="C9" s="14">
        <f>IF(EXACT("Team","Enterprise"),IF(IF(IF(ISERROR('Customers revenue and run costs'!C5=1),'Customers revenue and run costs'!C5=1,IF('Customers revenue and run costs'!C5="","",'Customers revenue and run costs'!C5=1))="",FALSE,IF(ISERROR('Customers revenue and run costs'!C5=1),'Customers revenue and run costs'!C5=1,IF('Customers revenue and run costs'!C5="","",'Customers revenue and run costs'!C5=1))),IF('Model inputs'!F10="","",'Model inputs'!F10),'Customers revenue and run costs'!B9+'Model inputs'!F10),'Model inputs'!B39+('Model inputs'!B9-'Model inputs'!B39)*('Customers revenue and run costs'!C5-1)/('Model inputs'!Q18-1))</f>
        <v>5.454545454545455</v>
      </c>
      <c r="D9" s="14">
        <f>IF(EXACT("Team","Enterprise"),IF(IF(IF(ISERROR('Customers revenue and run costs'!D5=1),'Customers revenue and run costs'!D5=1,IF('Customers revenue and run costs'!D5="","",'Customers revenue and run costs'!D5=1))="",FALSE,IF(ISERROR('Customers revenue and run costs'!D5=1),'Customers revenue and run costs'!D5=1,IF('Customers revenue and run costs'!D5="","",'Customers revenue and run costs'!D5=1))),IF('Model inputs'!G10="","",'Model inputs'!G10),'Customers revenue and run costs'!C9+'Model inputs'!G10),'Model inputs'!B39+('Model inputs'!B9-'Model inputs'!B39)*('Customers revenue and run costs'!D5-1)/('Model inputs'!Q18-1))</f>
        <v>8.90909090909091</v>
      </c>
      <c r="E9" s="14">
        <f>IF(EXACT("Team","Enterprise"),IF(IF(IF(ISERROR('Customers revenue and run costs'!E5=1),'Customers revenue and run costs'!E5=1,IF('Customers revenue and run costs'!E5="","",'Customers revenue and run costs'!E5=1))="",FALSE,IF(ISERROR('Customers revenue and run costs'!E5=1),'Customers revenue and run costs'!E5=1,IF('Customers revenue and run costs'!E5="","",'Customers revenue and run costs'!E5=1))),IF('Model inputs'!H10="","",'Model inputs'!H10),'Customers revenue and run costs'!D9+'Model inputs'!H10),'Model inputs'!B39+('Model inputs'!B9-'Model inputs'!B39)*('Customers revenue and run costs'!E5-1)/('Model inputs'!Q18-1))</f>
        <v>12.363636363636363</v>
      </c>
      <c r="F9" s="14">
        <f>IF(EXACT("Team","Enterprise"),IF(IF(IF(ISERROR('Customers revenue and run costs'!F5=1),'Customers revenue and run costs'!F5=1,IF('Customers revenue and run costs'!F5="","",'Customers revenue and run costs'!F5=1))="",FALSE,IF(ISERROR('Customers revenue and run costs'!F5=1),'Customers revenue and run costs'!F5=1,IF('Customers revenue and run costs'!F5="","",'Customers revenue and run costs'!F5=1))),IF('Model inputs'!I10="","",'Model inputs'!I10),'Customers revenue and run costs'!E9+'Model inputs'!I10),'Model inputs'!B39+('Model inputs'!B9-'Model inputs'!B39)*('Customers revenue and run costs'!F5-1)/('Model inputs'!Q18-1))</f>
        <v>15.818181818181818</v>
      </c>
      <c r="G9" s="14">
        <f>IF(EXACT("Team","Enterprise"),IF(IF(IF(ISERROR('Customers revenue and run costs'!G5=1),'Customers revenue and run costs'!G5=1,IF('Customers revenue and run costs'!G5="","",'Customers revenue and run costs'!G5=1))="",FALSE,IF(ISERROR('Customers revenue and run costs'!G5=1),'Customers revenue and run costs'!G5=1,IF('Customers revenue and run costs'!G5="","",'Customers revenue and run costs'!G5=1))),IF('Model inputs'!J10="","",'Model inputs'!J10),'Customers revenue and run costs'!F9+'Model inputs'!J10),'Model inputs'!B39+('Model inputs'!B9-'Model inputs'!B39)*('Customers revenue and run costs'!G5-1)/('Model inputs'!Q18-1))</f>
        <v>19.272727272727273</v>
      </c>
      <c r="H9" s="14">
        <f>IF(EXACT("Team","Enterprise"),IF(IF(IF(ISERROR('Customers revenue and run costs'!H5=1),'Customers revenue and run costs'!H5=1,IF('Customers revenue and run costs'!H5="","",'Customers revenue and run costs'!H5=1))="",FALSE,IF(ISERROR('Customers revenue and run costs'!H5=1),'Customers revenue and run costs'!H5=1,IF('Customers revenue and run costs'!H5="","",'Customers revenue and run costs'!H5=1))),IF('Model inputs'!K10="","",'Model inputs'!K10),'Customers revenue and run costs'!G9+'Model inputs'!K10),'Model inputs'!B39+('Model inputs'!B9-'Model inputs'!B39)*('Customers revenue and run costs'!H5-1)/('Model inputs'!Q18-1))</f>
        <v>22.727272727272727</v>
      </c>
      <c r="I9" s="14">
        <f>IF(EXACT("Team","Enterprise"),IF(IF(IF(ISERROR('Customers revenue and run costs'!I5=1),'Customers revenue and run costs'!I5=1,IF('Customers revenue and run costs'!I5="","",'Customers revenue and run costs'!I5=1))="",FALSE,IF(ISERROR('Customers revenue and run costs'!I5=1),'Customers revenue and run costs'!I5=1,IF('Customers revenue and run costs'!I5="","",'Customers revenue and run costs'!I5=1))),IF('Model inputs'!L10="","",'Model inputs'!L10),'Customers revenue and run costs'!H9+'Model inputs'!L10),'Model inputs'!B39+('Model inputs'!B9-'Model inputs'!B39)*('Customers revenue and run costs'!I5-1)/('Model inputs'!Q18-1))</f>
        <v>26.181818181818183</v>
      </c>
      <c r="J9" s="14">
        <f>IF(EXACT("Team","Enterprise"),IF(IF(IF(ISERROR('Customers revenue and run costs'!J5=1),'Customers revenue and run costs'!J5=1,IF('Customers revenue and run costs'!J5="","",'Customers revenue and run costs'!J5=1))="",FALSE,IF(ISERROR('Customers revenue and run costs'!J5=1),'Customers revenue and run costs'!J5=1,IF('Customers revenue and run costs'!J5="","",'Customers revenue and run costs'!J5=1))),IF('Model inputs'!M10="","",'Model inputs'!M10),'Customers revenue and run costs'!I9+'Model inputs'!M10),'Model inputs'!B39+('Model inputs'!B9-'Model inputs'!B39)*('Customers revenue and run costs'!J5-1)/('Model inputs'!Q18-1))</f>
        <v>29.636363636363637</v>
      </c>
      <c r="K9" s="14">
        <f>IF(EXACT("Team","Enterprise"),IF(IF(IF(ISERROR('Customers revenue and run costs'!K5=1),'Customers revenue and run costs'!K5=1,IF('Customers revenue and run costs'!K5="","",'Customers revenue and run costs'!K5=1))="",FALSE,IF(ISERROR('Customers revenue and run costs'!K5=1),'Customers revenue and run costs'!K5=1,IF('Customers revenue and run costs'!K5="","",'Customers revenue and run costs'!K5=1))),IF('Model inputs'!N10="","",'Model inputs'!N10),'Customers revenue and run costs'!J9+'Model inputs'!N10),'Model inputs'!B39+('Model inputs'!B9-'Model inputs'!B39)*('Customers revenue and run costs'!K5-1)/('Model inputs'!Q18-1))</f>
        <v>33.09090909090909</v>
      </c>
      <c r="L9" s="14">
        <f>IF(EXACT("Team","Enterprise"),IF(IF(IF(ISERROR('Customers revenue and run costs'!L5=1),'Customers revenue and run costs'!L5=1,IF('Customers revenue and run costs'!L5="","",'Customers revenue and run costs'!L5=1))="",FALSE,IF(ISERROR('Customers revenue and run costs'!L5=1),'Customers revenue and run costs'!L5=1,IF('Customers revenue and run costs'!L5="","",'Customers revenue and run costs'!L5=1))),IF('Model inputs'!O10="","",'Model inputs'!O10),'Customers revenue and run costs'!K9+'Model inputs'!O10),'Model inputs'!B39+('Model inputs'!B9-'Model inputs'!B39)*('Customers revenue and run costs'!L5-1)/('Model inputs'!Q18-1))</f>
        <v>36.54545454545455</v>
      </c>
      <c r="M9" s="14">
        <f>IF(EXACT("Team","Enterprise"),IF(IF(IF(ISERROR('Customers revenue and run costs'!M5=1),'Customers revenue and run costs'!M5=1,IF('Customers revenue and run costs'!M5="","",'Customers revenue and run costs'!M5=1))="",FALSE,IF(ISERROR('Customers revenue and run costs'!M5=1),'Customers revenue and run costs'!M5=1,IF('Customers revenue and run costs'!M5="","",'Customers revenue and run costs'!M5=1))),IF('Model inputs'!P10="","",'Model inputs'!P10),'Customers revenue and run costs'!L9+'Model inputs'!P10),'Model inputs'!B39+('Model inputs'!B9-'Model inputs'!B39)*('Customers revenue and run costs'!M5-1)/('Model inputs'!Q18-1))</f>
        <v>40</v>
      </c>
    </row>
    <row r="10">
      <c r="A10" t="inlineStr" s="5">
        <is>
          <t xml:space="preserve">Forecast subscription revenue</t>
        </is>
      </c>
      <c r="B10" s="6">
        <f>SUM('Customers revenue and run costs'!B11,'Customers revenue and run costs'!B12,'Customers revenue and run costs'!B13)</f>
        <v>158</v>
      </c>
      <c r="C10" s="6">
        <f>SUM('Customers revenue and run costs'!C11,'Customers revenue and run costs'!C12,'Customers revenue and run costs'!C13)</f>
        <v>430.90909090909093</v>
      </c>
      <c r="D10" s="6">
        <f>SUM('Customers revenue and run costs'!D11,'Customers revenue and run costs'!D12,'Customers revenue and run costs'!D13)</f>
        <v>703.8181818181819</v>
      </c>
      <c r="E10" s="6">
        <f>SUM('Customers revenue and run costs'!E11,'Customers revenue and run costs'!E12,'Customers revenue and run costs'!E13)</f>
        <v>976.7272727272727</v>
      </c>
      <c r="F10" s="6">
        <f>SUM('Customers revenue and run costs'!F11,'Customers revenue and run costs'!F12,'Customers revenue and run costs'!F13)</f>
        <v>1249.6363636363637</v>
      </c>
      <c r="G10" s="6">
        <f>SUM('Customers revenue and run costs'!G11,'Customers revenue and run costs'!G12,'Customers revenue and run costs'!G13)</f>
        <v>1522.5454545454545</v>
      </c>
      <c r="H10" s="6">
        <f>SUM('Customers revenue and run costs'!H11,'Customers revenue and run costs'!H12,'Customers revenue and run costs'!H13)</f>
        <v>1795.4545454545455</v>
      </c>
      <c r="I10" s="6">
        <f>SUM('Customers revenue and run costs'!I11,'Customers revenue and run costs'!I12,'Customers revenue and run costs'!I13)</f>
        <v>2068.3636363636365</v>
      </c>
      <c r="J10" s="6">
        <f>SUM('Customers revenue and run costs'!J11,'Customers revenue and run costs'!J12,'Customers revenue and run costs'!J13)</f>
        <v>3841.2727272727275</v>
      </c>
      <c r="K10" s="6">
        <f>SUM('Customers revenue and run costs'!K11,'Customers revenue and run costs'!K12,'Customers revenue and run costs'!K13)</f>
        <v>4114.181818181818</v>
      </c>
      <c r="L10" s="6">
        <f>SUM('Customers revenue and run costs'!L11,'Customers revenue and run costs'!L12,'Customers revenue and run costs'!L13)</f>
        <v>4387.090909090909</v>
      </c>
      <c r="M10" s="6">
        <f>SUM('Customers revenue and run costs'!M11,'Customers revenue and run costs'!M12,'Customers revenue and run costs'!M13)</f>
        <v>4660</v>
      </c>
    </row>
    <row r="11" outlineLevel="1">
      <c r="A11" t="inlineStr" s="13">
        <is>
          <t xml:space="preserve">Enterprise</t>
        </is>
      </c>
      <c r="B11" s="8">
        <f>'Customers revenue and run costs'!B7*'Model inputs'!B33</f>
        <v>0</v>
      </c>
      <c r="C11" s="8">
        <f>'Customers revenue and run costs'!C7*'Model inputs'!B33</f>
        <v>0</v>
      </c>
      <c r="D11" s="8">
        <f>'Customers revenue and run costs'!D7*'Model inputs'!B33</f>
        <v>0</v>
      </c>
      <c r="E11" s="8">
        <f>'Customers revenue and run costs'!E7*'Model inputs'!B33</f>
        <v>0</v>
      </c>
      <c r="F11" s="8">
        <f>'Customers revenue and run costs'!F7*'Model inputs'!B33</f>
        <v>0</v>
      </c>
      <c r="G11" s="8">
        <f>'Customers revenue and run costs'!G7*'Model inputs'!B33</f>
        <v>0</v>
      </c>
      <c r="H11" s="8">
        <f>'Customers revenue and run costs'!H7*'Model inputs'!B33</f>
        <v>0</v>
      </c>
      <c r="I11" s="8">
        <f>'Customers revenue and run costs'!I7*'Model inputs'!B33</f>
        <v>0</v>
      </c>
      <c r="J11" s="8">
        <f>'Customers revenue and run costs'!J7*'Model inputs'!B33</f>
        <v>1500</v>
      </c>
      <c r="K11" s="8">
        <f>'Customers revenue and run costs'!K7*'Model inputs'!B33</f>
        <v>1500</v>
      </c>
      <c r="L11" s="8">
        <f>'Customers revenue and run costs'!L7*'Model inputs'!B33</f>
        <v>1500</v>
      </c>
      <c r="M11" s="8">
        <f>'Customers revenue and run costs'!M7*'Model inputs'!B33</f>
        <v>1500</v>
      </c>
    </row>
    <row r="12" outlineLevel="1">
      <c r="A12" t="inlineStr" s="13">
        <is>
          <t xml:space="preserve">Free</t>
        </is>
      </c>
      <c r="B12" s="8">
        <f>'Customers revenue and run costs'!B8*'Model inputs'!B34</f>
        <v>0</v>
      </c>
      <c r="C12" s="8">
        <f>'Customers revenue and run costs'!C8*'Model inputs'!B34</f>
        <v>0</v>
      </c>
      <c r="D12" s="8">
        <f>'Customers revenue and run costs'!D8*'Model inputs'!B34</f>
        <v>0</v>
      </c>
      <c r="E12" s="8">
        <f>'Customers revenue and run costs'!E8*'Model inputs'!B34</f>
        <v>0</v>
      </c>
      <c r="F12" s="8">
        <f>'Customers revenue and run costs'!F8*'Model inputs'!B34</f>
        <v>0</v>
      </c>
      <c r="G12" s="8">
        <f>'Customers revenue and run costs'!G8*'Model inputs'!B34</f>
        <v>0</v>
      </c>
      <c r="H12" s="8">
        <f>'Customers revenue and run costs'!H8*'Model inputs'!B34</f>
        <v>0</v>
      </c>
      <c r="I12" s="8">
        <f>'Customers revenue and run costs'!I8*'Model inputs'!B34</f>
        <v>0</v>
      </c>
      <c r="J12" s="8">
        <f>'Customers revenue and run costs'!J8*'Model inputs'!B34</f>
        <v>0</v>
      </c>
      <c r="K12" s="8">
        <f>'Customers revenue and run costs'!K8*'Model inputs'!B34</f>
        <v>0</v>
      </c>
      <c r="L12" s="8">
        <f>'Customers revenue and run costs'!L8*'Model inputs'!B34</f>
        <v>0</v>
      </c>
      <c r="M12" s="8">
        <f>'Customers revenue and run costs'!M8*'Model inputs'!B34</f>
        <v>0</v>
      </c>
    </row>
    <row r="13" outlineLevel="1">
      <c r="A13" t="inlineStr" s="13">
        <is>
          <t xml:space="preserve">Team</t>
        </is>
      </c>
      <c r="B13" s="8">
        <f>'Customers revenue and run costs'!B9*'Model inputs'!B35</f>
        <v>158</v>
      </c>
      <c r="C13" s="8">
        <f>'Customers revenue and run costs'!C9*'Model inputs'!B35</f>
        <v>430.90909090909093</v>
      </c>
      <c r="D13" s="8">
        <f>'Customers revenue and run costs'!D9*'Model inputs'!B35</f>
        <v>703.8181818181819</v>
      </c>
      <c r="E13" s="8">
        <f>'Customers revenue and run costs'!E9*'Model inputs'!B35</f>
        <v>976.7272727272727</v>
      </c>
      <c r="F13" s="8">
        <f>'Customers revenue and run costs'!F9*'Model inputs'!B35</f>
        <v>1249.6363636363637</v>
      </c>
      <c r="G13" s="8">
        <f>'Customers revenue and run costs'!G9*'Model inputs'!B35</f>
        <v>1522.5454545454545</v>
      </c>
      <c r="H13" s="8">
        <f>'Customers revenue and run costs'!H9*'Model inputs'!B35</f>
        <v>1795.4545454545455</v>
      </c>
      <c r="I13" s="8">
        <f>'Customers revenue and run costs'!I9*'Model inputs'!B35</f>
        <v>2068.3636363636365</v>
      </c>
      <c r="J13" s="8">
        <f>'Customers revenue and run costs'!J9*'Model inputs'!B35</f>
        <v>2341.2727272727275</v>
      </c>
      <c r="K13" s="8">
        <f>'Customers revenue and run costs'!K9*'Model inputs'!B35</f>
        <v>2614.1818181818185</v>
      </c>
      <c r="L13" s="8">
        <f>'Customers revenue and run costs'!L9*'Model inputs'!B35</f>
        <v>2887.090909090909</v>
      </c>
      <c r="M13" s="8">
        <f>'Customers revenue and run costs'!M9*'Model inputs'!B35</f>
        <v>3160</v>
      </c>
    </row>
    <row r="14">
      <c r="A14" t="inlineStr" s="5">
        <is>
          <t xml:space="preserve">Forecast run costs</t>
        </is>
      </c>
      <c r="B14" s="6">
        <f>SUM('Customers revenue and run costs'!B15,'Customers revenue and run costs'!B16,'Customers revenue and run costs'!B17)</f>
        <v>114.7</v>
      </c>
      <c r="C14" s="6">
        <f>SUM('Customers revenue and run costs'!C15,'Customers revenue and run costs'!C16,'Customers revenue and run costs'!C17)</f>
        <v>256.4545454545455</v>
      </c>
      <c r="D14" s="6">
        <f>SUM('Customers revenue and run costs'!D15,'Customers revenue and run costs'!D16,'Customers revenue and run costs'!D17)</f>
        <v>398.20909090909095</v>
      </c>
      <c r="E14" s="6">
        <f>SUM('Customers revenue and run costs'!E15,'Customers revenue and run costs'!E16,'Customers revenue and run costs'!E17)</f>
        <v>539.9636363636364</v>
      </c>
      <c r="F14" s="6">
        <f>SUM('Customers revenue and run costs'!F15,'Customers revenue and run costs'!F16,'Customers revenue and run costs'!F17)</f>
        <v>681.7181818181818</v>
      </c>
      <c r="G14" s="6">
        <f>SUM('Customers revenue and run costs'!G15,'Customers revenue and run costs'!G16,'Customers revenue and run costs'!G17)</f>
        <v>823.4727272727273</v>
      </c>
      <c r="H14" s="6">
        <f>SUM('Customers revenue and run costs'!H15,'Customers revenue and run costs'!H16,'Customers revenue and run costs'!H17)</f>
        <v>965.2272727272727</v>
      </c>
      <c r="I14" s="6">
        <f>SUM('Customers revenue and run costs'!I15,'Customers revenue and run costs'!I16,'Customers revenue and run costs'!I17)</f>
        <v>1106.9818181818182</v>
      </c>
      <c r="J14" s="6">
        <f>SUM('Customers revenue and run costs'!J15,'Customers revenue and run costs'!J16,'Customers revenue and run costs'!J17)</f>
        <v>1403.7363636363636</v>
      </c>
      <c r="K14" s="6">
        <f>SUM('Customers revenue and run costs'!K15,'Customers revenue and run costs'!K16,'Customers revenue and run costs'!K17)</f>
        <v>1545.490909090909</v>
      </c>
      <c r="L14" s="6">
        <f>SUM('Customers revenue and run costs'!L15,'Customers revenue and run costs'!L16,'Customers revenue and run costs'!L17)</f>
        <v>1687.2454545454545</v>
      </c>
      <c r="M14" s="6">
        <f>SUM('Customers revenue and run costs'!M15,'Customers revenue and run costs'!M16,'Customers revenue and run costs'!M17)</f>
        <v>1829</v>
      </c>
    </row>
    <row r="15" outlineLevel="1">
      <c r="A15" t="inlineStr" s="13">
        <is>
          <t xml:space="preserve">Enterprise</t>
        </is>
      </c>
      <c r="B15" s="8">
        <f>'Customers revenue and run costs'!B7*'Model inputs'!B12*'Model inputs'!B41</f>
        <v>0</v>
      </c>
      <c r="C15" s="8">
        <f>'Customers revenue and run costs'!C7*'Model inputs'!B12*'Model inputs'!B41</f>
        <v>0</v>
      </c>
      <c r="D15" s="8">
        <f>'Customers revenue and run costs'!D7*'Model inputs'!B12*'Model inputs'!B41</f>
        <v>0</v>
      </c>
      <c r="E15" s="8">
        <f>'Customers revenue and run costs'!E7*'Model inputs'!B12*'Model inputs'!B41</f>
        <v>0</v>
      </c>
      <c r="F15" s="8">
        <f>'Customers revenue and run costs'!F7*'Model inputs'!B12*'Model inputs'!B41</f>
        <v>0</v>
      </c>
      <c r="G15" s="8">
        <f>'Customers revenue and run costs'!G7*'Model inputs'!B12*'Model inputs'!B41</f>
        <v>0</v>
      </c>
      <c r="H15" s="8">
        <f>'Customers revenue and run costs'!H7*'Model inputs'!B12*'Model inputs'!B41</f>
        <v>0</v>
      </c>
      <c r="I15" s="8">
        <f>'Customers revenue and run costs'!I7*'Model inputs'!B12*'Model inputs'!B41</f>
        <v>0</v>
      </c>
      <c r="J15" s="8">
        <f>'Customers revenue and run costs'!J7*'Model inputs'!B12*'Model inputs'!B41</f>
        <v>155</v>
      </c>
      <c r="K15" s="8">
        <f>'Customers revenue and run costs'!K7*'Model inputs'!B12*'Model inputs'!B41</f>
        <v>155</v>
      </c>
      <c r="L15" s="8">
        <f>'Customers revenue and run costs'!L7*'Model inputs'!B12*'Model inputs'!B41</f>
        <v>155</v>
      </c>
      <c r="M15" s="8">
        <f>'Customers revenue and run costs'!M7*'Model inputs'!B12*'Model inputs'!B41</f>
        <v>155</v>
      </c>
    </row>
    <row r="16" outlineLevel="1">
      <c r="A16" t="inlineStr" s="13">
        <is>
          <t xml:space="preserve">Free</t>
        </is>
      </c>
      <c r="B16" s="8">
        <f>'Customers revenue and run costs'!B8*'Model inputs'!B13*'Model inputs'!B41</f>
        <v>77.5</v>
      </c>
      <c r="C16" s="8">
        <f>'Customers revenue and run costs'!C8*'Model inputs'!B13*'Model inputs'!B41</f>
        <v>155</v>
      </c>
      <c r="D16" s="8">
        <f>'Customers revenue and run costs'!D8*'Model inputs'!B13*'Model inputs'!B41</f>
        <v>232.5</v>
      </c>
      <c r="E16" s="8">
        <f>'Customers revenue and run costs'!E8*'Model inputs'!B13*'Model inputs'!B41</f>
        <v>310</v>
      </c>
      <c r="F16" s="8">
        <f>'Customers revenue and run costs'!F8*'Model inputs'!B13*'Model inputs'!B41</f>
        <v>387.5</v>
      </c>
      <c r="G16" s="8">
        <f>'Customers revenue and run costs'!G8*'Model inputs'!B13*'Model inputs'!B41</f>
        <v>465</v>
      </c>
      <c r="H16" s="8">
        <f>'Customers revenue and run costs'!H8*'Model inputs'!B13*'Model inputs'!B41</f>
        <v>542.5</v>
      </c>
      <c r="I16" s="8">
        <f>'Customers revenue and run costs'!I8*'Model inputs'!B13*'Model inputs'!B41</f>
        <v>620</v>
      </c>
      <c r="J16" s="8">
        <f>'Customers revenue and run costs'!J8*'Model inputs'!B13*'Model inputs'!B41</f>
        <v>697.5</v>
      </c>
      <c r="K16" s="8">
        <f>'Customers revenue and run costs'!K8*'Model inputs'!B13*'Model inputs'!B41</f>
        <v>775</v>
      </c>
      <c r="L16" s="8">
        <f>'Customers revenue and run costs'!L8*'Model inputs'!B13*'Model inputs'!B41</f>
        <v>852.5</v>
      </c>
      <c r="M16" s="8">
        <f>'Customers revenue and run costs'!M8*'Model inputs'!B13*'Model inputs'!B41</f>
        <v>930</v>
      </c>
    </row>
    <row r="17" outlineLevel="1">
      <c r="A17" t="inlineStr" s="13">
        <is>
          <t xml:space="preserve">Team</t>
        </is>
      </c>
      <c r="B17" s="8">
        <f>'Customers revenue and run costs'!B9*'Model inputs'!B14*'Model inputs'!B41</f>
        <v>37.2</v>
      </c>
      <c r="C17" s="8">
        <f>'Customers revenue and run costs'!C9*'Model inputs'!B14*'Model inputs'!B41</f>
        <v>101.45454545454548</v>
      </c>
      <c r="D17" s="8">
        <f>'Customers revenue and run costs'!D9*'Model inputs'!B14*'Model inputs'!B41</f>
        <v>165.70909090909092</v>
      </c>
      <c r="E17" s="8">
        <f>'Customers revenue and run costs'!E9*'Model inputs'!B14*'Model inputs'!B41</f>
        <v>229.9636363636364</v>
      </c>
      <c r="F17" s="8">
        <f>'Customers revenue and run costs'!F9*'Model inputs'!B14*'Model inputs'!B41</f>
        <v>294.2181818181818</v>
      </c>
      <c r="G17" s="8">
        <f>'Customers revenue and run costs'!G9*'Model inputs'!B14*'Model inputs'!B41</f>
        <v>358.4727272727273</v>
      </c>
      <c r="H17" s="8">
        <f>'Customers revenue and run costs'!H9*'Model inputs'!B14*'Model inputs'!B41</f>
        <v>422.72727272727275</v>
      </c>
      <c r="I17" s="8">
        <f>'Customers revenue and run costs'!I9*'Model inputs'!B14*'Model inputs'!B41</f>
        <v>486.9818181818182</v>
      </c>
      <c r="J17" s="8">
        <f>'Customers revenue and run costs'!J9*'Model inputs'!B14*'Model inputs'!B41</f>
        <v>551.2363636363636</v>
      </c>
      <c r="K17" s="8">
        <f>'Customers revenue and run costs'!K9*'Model inputs'!B14*'Model inputs'!B41</f>
        <v>615.4909090909092</v>
      </c>
      <c r="L17" s="8">
        <f>'Customers revenue and run costs'!L9*'Model inputs'!B14*'Model inputs'!B41</f>
        <v>679.7454545454545</v>
      </c>
      <c r="M17" s="8">
        <f>'Customers revenue and run costs'!M9*'Model inputs'!B14*'Model inputs'!B41</f>
        <v>744</v>
      </c>
    </row>
  </sheetData>
  <mergeCells count="1">
    <mergeCell ref="A1:M1"/>
  </mergeCells>
</worksheet>
</file>

<file path=xl/worksheets/sheet4.xml><?xml version="1.0" encoding="utf-8"?>
<worksheet xmlns="http://schemas.openxmlformats.org/spreadsheetml/2006/main">
  <dimension ref="A1:M12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</cols>
  <sheetData>
    <row r="1" ht="32" customHeight="1">
      <c r="A1" t="inlineStr" s="1">
        <is>
          <t xml:space="preserve">Monthly headcount and payroll</t>
        </is>
      </c>
    </row>
    <row r="2" ht="20" customHeight="1">
      <c r="A2" t="inlineStr" s="2">
        <is>
          <t xml:space="preserve">Susanoo — 12-Month Forecast · Susanoo — Base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2026-11</t>
        </is>
      </c>
      <c r="C4" t="inlineStr" s="4">
        <is>
          <t xml:space="preserve">2026-12</t>
        </is>
      </c>
      <c r="D4" t="inlineStr" s="9">
        <is>
          <t xml:space="preserve">2027-01</t>
        </is>
      </c>
      <c r="E4" t="inlineStr" s="4">
        <is>
          <t xml:space="preserve">2027-02</t>
        </is>
      </c>
      <c r="F4" t="inlineStr" s="4">
        <is>
          <t xml:space="preserve">2027-03</t>
        </is>
      </c>
      <c r="G4" t="inlineStr" s="9">
        <is>
          <t xml:space="preserve">2027-04</t>
        </is>
      </c>
      <c r="H4" t="inlineStr" s="4">
        <is>
          <t xml:space="preserve">2027-05</t>
        </is>
      </c>
      <c r="I4" t="inlineStr" s="4">
        <is>
          <t xml:space="preserve">2027-06</t>
        </is>
      </c>
      <c r="J4" t="inlineStr" s="9">
        <is>
          <t xml:space="preserve">2027-07</t>
        </is>
      </c>
      <c r="K4" t="inlineStr" s="4">
        <is>
          <t xml:space="preserve">2027-08</t>
        </is>
      </c>
      <c r="L4" t="inlineStr" s="4">
        <is>
          <t xml:space="preserve">2027-09</t>
        </is>
      </c>
      <c r="M4" t="inlineStr" s="9">
        <is>
          <t xml:space="preserve">2027-10</t>
        </is>
      </c>
    </row>
    <row r="5">
      <c r="A5" t="inlineStr" s="5">
        <is>
          <t xml:space="preserve">Forecast headcount</t>
        </is>
      </c>
      <c r="B5" s="12">
        <f>SUM('Monthly headcount and payroll'!B6,'Monthly headcount and payroll'!B7,'Monthly headcount and payroll'!B8)</f>
        <v>2</v>
      </c>
      <c r="C5" s="12">
        <f>SUM('Monthly headcount and payroll'!C6,'Monthly headcount and payroll'!C7,'Monthly headcount and payroll'!C8)</f>
        <v>2</v>
      </c>
      <c r="D5" s="12">
        <f>SUM('Monthly headcount and payroll'!D6,'Monthly headcount and payroll'!D7,'Monthly headcount and payroll'!D8)</f>
        <v>2</v>
      </c>
      <c r="E5" s="12">
        <f>SUM('Monthly headcount and payroll'!E6,'Monthly headcount and payroll'!E7,'Monthly headcount and payroll'!E8)</f>
        <v>2</v>
      </c>
      <c r="F5" s="12">
        <f>SUM('Monthly headcount and payroll'!F6,'Monthly headcount and payroll'!F7,'Monthly headcount and payroll'!F8)</f>
        <v>2</v>
      </c>
      <c r="G5" s="12">
        <f>SUM('Monthly headcount and payroll'!G6,'Monthly headcount and payroll'!G7,'Monthly headcount and payroll'!G8)</f>
        <v>2</v>
      </c>
      <c r="H5" s="12">
        <f>SUM('Monthly headcount and payroll'!H6,'Monthly headcount and payroll'!H7,'Monthly headcount and payroll'!H8)</f>
        <v>2</v>
      </c>
      <c r="I5" s="12">
        <f>SUM('Monthly headcount and payroll'!I6,'Monthly headcount and payroll'!I7,'Monthly headcount and payroll'!I8)</f>
        <v>2</v>
      </c>
      <c r="J5" s="12">
        <f>SUM('Monthly headcount and payroll'!J6,'Monthly headcount and payroll'!J7,'Monthly headcount and payroll'!J8)</f>
        <v>2</v>
      </c>
      <c r="K5" s="12">
        <f>SUM('Monthly headcount and payroll'!K6,'Monthly headcount and payroll'!K7,'Monthly headcount and payroll'!K8)</f>
        <v>2</v>
      </c>
      <c r="L5" s="12">
        <f>SUM('Monthly headcount and payroll'!L6,'Monthly headcount and payroll'!L7,'Monthly headcount and payroll'!L8)</f>
        <v>2</v>
      </c>
      <c r="M5" s="12">
        <f>SUM('Monthly headcount and payroll'!M6,'Monthly headcount and payroll'!M7,'Monthly headcount and payroll'!M8)</f>
        <v>2</v>
      </c>
    </row>
    <row r="6" outlineLevel="1">
      <c r="A6" t="inlineStr" s="13">
        <is>
          <t xml:space="preserve">Founder 1</t>
        </is>
      </c>
      <c r="B6" s="14">
        <f>'Model inputs'!B45*IF(IF(IF(IF(ISERROR('Customers revenue and run costs'!B5&gt;='Model inputs'!B53),'Customers revenue and run costs'!B5&gt;='Model inputs'!B53,IF(OR('Customers revenue and run costs'!B5="",'Model inputs'!B53=""),"",'Customers revenue and run costs'!B5&gt;='Model inputs'!B53))="",FALSE,IF(ISERROR('Customers revenue and run costs'!B5&gt;='Model inputs'!B53),'Customers revenue and run costs'!B5&gt;='Model inputs'!B53,IF(OR('Customers revenue and run costs'!B5="",'Model inputs'!B53=""),"",'Customers revenue and run costs'!B5&gt;='Model inputs'!B53))),1,0)="",0,IF(IF(IF(ISERROR('Customers revenue and run costs'!B5&gt;='Model inputs'!B53),'Customers revenue and run costs'!B5&gt;='Model inputs'!B53,IF(OR('Customers revenue and run costs'!B5="",'Model inputs'!B53=""),"",'Customers revenue and run costs'!B5&gt;='Model inputs'!B53))="",FALSE,IF(ISERROR('Customers revenue and run costs'!B5&gt;='Model inputs'!B53),'Customers revenue and run costs'!B5&gt;='Model inputs'!B53,IF(OR('Customers revenue and run costs'!B5="",'Model inputs'!B53=""),"",'Customers revenue and run costs'!B5&gt;='Model inputs'!B53))),1,0))</f>
        <v>1</v>
      </c>
      <c r="C6" s="14">
        <f>'Model inputs'!B45*IF(IF(IF(IF(ISERROR('Customers revenue and run costs'!C5&gt;='Model inputs'!B53),'Customers revenue and run costs'!C5&gt;='Model inputs'!B53,IF(OR('Customers revenue and run costs'!C5="",'Model inputs'!B53=""),"",'Customers revenue and run costs'!C5&gt;='Model inputs'!B53))="",FALSE,IF(ISERROR('Customers revenue and run costs'!C5&gt;='Model inputs'!B53),'Customers revenue and run costs'!C5&gt;='Model inputs'!B53,IF(OR('Customers revenue and run costs'!C5="",'Model inputs'!B53=""),"",'Customers revenue and run costs'!C5&gt;='Model inputs'!B53))),1,0)="",0,IF(IF(IF(ISERROR('Customers revenue and run costs'!C5&gt;='Model inputs'!B53),'Customers revenue and run costs'!C5&gt;='Model inputs'!B53,IF(OR('Customers revenue and run costs'!C5="",'Model inputs'!B53=""),"",'Customers revenue and run costs'!C5&gt;='Model inputs'!B53))="",FALSE,IF(ISERROR('Customers revenue and run costs'!C5&gt;='Model inputs'!B53),'Customers revenue and run costs'!C5&gt;='Model inputs'!B53,IF(OR('Customers revenue and run costs'!C5="",'Model inputs'!B53=""),"",'Customers revenue and run costs'!C5&gt;='Model inputs'!B53))),1,0))</f>
        <v>1</v>
      </c>
      <c r="D6" s="14">
        <f>'Model inputs'!B45*IF(IF(IF(IF(ISERROR('Customers revenue and run costs'!D5&gt;='Model inputs'!B53),'Customers revenue and run costs'!D5&gt;='Model inputs'!B53,IF(OR('Customers revenue and run costs'!D5="",'Model inputs'!B53=""),"",'Customers revenue and run costs'!D5&gt;='Model inputs'!B53))="",FALSE,IF(ISERROR('Customers revenue and run costs'!D5&gt;='Model inputs'!B53),'Customers revenue and run costs'!D5&gt;='Model inputs'!B53,IF(OR('Customers revenue and run costs'!D5="",'Model inputs'!B53=""),"",'Customers revenue and run costs'!D5&gt;='Model inputs'!B53))),1,0)="",0,IF(IF(IF(ISERROR('Customers revenue and run costs'!D5&gt;='Model inputs'!B53),'Customers revenue and run costs'!D5&gt;='Model inputs'!B53,IF(OR('Customers revenue and run costs'!D5="",'Model inputs'!B53=""),"",'Customers revenue and run costs'!D5&gt;='Model inputs'!B53))="",FALSE,IF(ISERROR('Customers revenue and run costs'!D5&gt;='Model inputs'!B53),'Customers revenue and run costs'!D5&gt;='Model inputs'!B53,IF(OR('Customers revenue and run costs'!D5="",'Model inputs'!B53=""),"",'Customers revenue and run costs'!D5&gt;='Model inputs'!B53))),1,0))</f>
        <v>1</v>
      </c>
      <c r="E6" s="14">
        <f>'Model inputs'!B45*IF(IF(IF(IF(ISERROR('Customers revenue and run costs'!E5&gt;='Model inputs'!B53),'Customers revenue and run costs'!E5&gt;='Model inputs'!B53,IF(OR('Customers revenue and run costs'!E5="",'Model inputs'!B53=""),"",'Customers revenue and run costs'!E5&gt;='Model inputs'!B53))="",FALSE,IF(ISERROR('Customers revenue and run costs'!E5&gt;='Model inputs'!B53),'Customers revenue and run costs'!E5&gt;='Model inputs'!B53,IF(OR('Customers revenue and run costs'!E5="",'Model inputs'!B53=""),"",'Customers revenue and run costs'!E5&gt;='Model inputs'!B53))),1,0)="",0,IF(IF(IF(ISERROR('Customers revenue and run costs'!E5&gt;='Model inputs'!B53),'Customers revenue and run costs'!E5&gt;='Model inputs'!B53,IF(OR('Customers revenue and run costs'!E5="",'Model inputs'!B53=""),"",'Customers revenue and run costs'!E5&gt;='Model inputs'!B53))="",FALSE,IF(ISERROR('Customers revenue and run costs'!E5&gt;='Model inputs'!B53),'Customers revenue and run costs'!E5&gt;='Model inputs'!B53,IF(OR('Customers revenue and run costs'!E5="",'Model inputs'!B53=""),"",'Customers revenue and run costs'!E5&gt;='Model inputs'!B53))),1,0))</f>
        <v>1</v>
      </c>
      <c r="F6" s="14">
        <f>'Model inputs'!B45*IF(IF(IF(IF(ISERROR('Customers revenue and run costs'!F5&gt;='Model inputs'!B53),'Customers revenue and run costs'!F5&gt;='Model inputs'!B53,IF(OR('Customers revenue and run costs'!F5="",'Model inputs'!B53=""),"",'Customers revenue and run costs'!F5&gt;='Model inputs'!B53))="",FALSE,IF(ISERROR('Customers revenue and run costs'!F5&gt;='Model inputs'!B53),'Customers revenue and run costs'!F5&gt;='Model inputs'!B53,IF(OR('Customers revenue and run costs'!F5="",'Model inputs'!B53=""),"",'Customers revenue and run costs'!F5&gt;='Model inputs'!B53))),1,0)="",0,IF(IF(IF(ISERROR('Customers revenue and run costs'!F5&gt;='Model inputs'!B53),'Customers revenue and run costs'!F5&gt;='Model inputs'!B53,IF(OR('Customers revenue and run costs'!F5="",'Model inputs'!B53=""),"",'Customers revenue and run costs'!F5&gt;='Model inputs'!B53))="",FALSE,IF(ISERROR('Customers revenue and run costs'!F5&gt;='Model inputs'!B53),'Customers revenue and run costs'!F5&gt;='Model inputs'!B53,IF(OR('Customers revenue and run costs'!F5="",'Model inputs'!B53=""),"",'Customers revenue and run costs'!F5&gt;='Model inputs'!B53))),1,0))</f>
        <v>1</v>
      </c>
      <c r="G6" s="14">
        <f>'Model inputs'!B45*IF(IF(IF(IF(ISERROR('Customers revenue and run costs'!G5&gt;='Model inputs'!B53),'Customers revenue and run costs'!G5&gt;='Model inputs'!B53,IF(OR('Customers revenue and run costs'!G5="",'Model inputs'!B53=""),"",'Customers revenue and run costs'!G5&gt;='Model inputs'!B53))="",FALSE,IF(ISERROR('Customers revenue and run costs'!G5&gt;='Model inputs'!B53),'Customers revenue and run costs'!G5&gt;='Model inputs'!B53,IF(OR('Customers revenue and run costs'!G5="",'Model inputs'!B53=""),"",'Customers revenue and run costs'!G5&gt;='Model inputs'!B53))),1,0)="",0,IF(IF(IF(ISERROR('Customers revenue and run costs'!G5&gt;='Model inputs'!B53),'Customers revenue and run costs'!G5&gt;='Model inputs'!B53,IF(OR('Customers revenue and run costs'!G5="",'Model inputs'!B53=""),"",'Customers revenue and run costs'!G5&gt;='Model inputs'!B53))="",FALSE,IF(ISERROR('Customers revenue and run costs'!G5&gt;='Model inputs'!B53),'Customers revenue and run costs'!G5&gt;='Model inputs'!B53,IF(OR('Customers revenue and run costs'!G5="",'Model inputs'!B53=""),"",'Customers revenue and run costs'!G5&gt;='Model inputs'!B53))),1,0))</f>
        <v>1</v>
      </c>
      <c r="H6" s="14">
        <f>'Model inputs'!B45*IF(IF(IF(IF(ISERROR('Customers revenue and run costs'!H5&gt;='Model inputs'!B53),'Customers revenue and run costs'!H5&gt;='Model inputs'!B53,IF(OR('Customers revenue and run costs'!H5="",'Model inputs'!B53=""),"",'Customers revenue and run costs'!H5&gt;='Model inputs'!B53))="",FALSE,IF(ISERROR('Customers revenue and run costs'!H5&gt;='Model inputs'!B53),'Customers revenue and run costs'!H5&gt;='Model inputs'!B53,IF(OR('Customers revenue and run costs'!H5="",'Model inputs'!B53=""),"",'Customers revenue and run costs'!H5&gt;='Model inputs'!B53))),1,0)="",0,IF(IF(IF(ISERROR('Customers revenue and run costs'!H5&gt;='Model inputs'!B53),'Customers revenue and run costs'!H5&gt;='Model inputs'!B53,IF(OR('Customers revenue and run costs'!H5="",'Model inputs'!B53=""),"",'Customers revenue and run costs'!H5&gt;='Model inputs'!B53))="",FALSE,IF(ISERROR('Customers revenue and run costs'!H5&gt;='Model inputs'!B53),'Customers revenue and run costs'!H5&gt;='Model inputs'!B53,IF(OR('Customers revenue and run costs'!H5="",'Model inputs'!B53=""),"",'Customers revenue and run costs'!H5&gt;='Model inputs'!B53))),1,0))</f>
        <v>1</v>
      </c>
      <c r="I6" s="14">
        <f>'Model inputs'!B45*IF(IF(IF(IF(ISERROR('Customers revenue and run costs'!I5&gt;='Model inputs'!B53),'Customers revenue and run costs'!I5&gt;='Model inputs'!B53,IF(OR('Customers revenue and run costs'!I5="",'Model inputs'!B53=""),"",'Customers revenue and run costs'!I5&gt;='Model inputs'!B53))="",FALSE,IF(ISERROR('Customers revenue and run costs'!I5&gt;='Model inputs'!B53),'Customers revenue and run costs'!I5&gt;='Model inputs'!B53,IF(OR('Customers revenue and run costs'!I5="",'Model inputs'!B53=""),"",'Customers revenue and run costs'!I5&gt;='Model inputs'!B53))),1,0)="",0,IF(IF(IF(ISERROR('Customers revenue and run costs'!I5&gt;='Model inputs'!B53),'Customers revenue and run costs'!I5&gt;='Model inputs'!B53,IF(OR('Customers revenue and run costs'!I5="",'Model inputs'!B53=""),"",'Customers revenue and run costs'!I5&gt;='Model inputs'!B53))="",FALSE,IF(ISERROR('Customers revenue and run costs'!I5&gt;='Model inputs'!B53),'Customers revenue and run costs'!I5&gt;='Model inputs'!B53,IF(OR('Customers revenue and run costs'!I5="",'Model inputs'!B53=""),"",'Customers revenue and run costs'!I5&gt;='Model inputs'!B53))),1,0))</f>
        <v>1</v>
      </c>
      <c r="J6" s="14">
        <f>'Model inputs'!B45*IF(IF(IF(IF(ISERROR('Customers revenue and run costs'!J5&gt;='Model inputs'!B53),'Customers revenue and run costs'!J5&gt;='Model inputs'!B53,IF(OR('Customers revenue and run costs'!J5="",'Model inputs'!B53=""),"",'Customers revenue and run costs'!J5&gt;='Model inputs'!B53))="",FALSE,IF(ISERROR('Customers revenue and run costs'!J5&gt;='Model inputs'!B53),'Customers revenue and run costs'!J5&gt;='Model inputs'!B53,IF(OR('Customers revenue and run costs'!J5="",'Model inputs'!B53=""),"",'Customers revenue and run costs'!J5&gt;='Model inputs'!B53))),1,0)="",0,IF(IF(IF(ISERROR('Customers revenue and run costs'!J5&gt;='Model inputs'!B53),'Customers revenue and run costs'!J5&gt;='Model inputs'!B53,IF(OR('Customers revenue and run costs'!J5="",'Model inputs'!B53=""),"",'Customers revenue and run costs'!J5&gt;='Model inputs'!B53))="",FALSE,IF(ISERROR('Customers revenue and run costs'!J5&gt;='Model inputs'!B53),'Customers revenue and run costs'!J5&gt;='Model inputs'!B53,IF(OR('Customers revenue and run costs'!J5="",'Model inputs'!B53=""),"",'Customers revenue and run costs'!J5&gt;='Model inputs'!B53))),1,0))</f>
        <v>1</v>
      </c>
      <c r="K6" s="14">
        <f>'Model inputs'!B45*IF(IF(IF(IF(ISERROR('Customers revenue and run costs'!K5&gt;='Model inputs'!B53),'Customers revenue and run costs'!K5&gt;='Model inputs'!B53,IF(OR('Customers revenue and run costs'!K5="",'Model inputs'!B53=""),"",'Customers revenue and run costs'!K5&gt;='Model inputs'!B53))="",FALSE,IF(ISERROR('Customers revenue and run costs'!K5&gt;='Model inputs'!B53),'Customers revenue and run costs'!K5&gt;='Model inputs'!B53,IF(OR('Customers revenue and run costs'!K5="",'Model inputs'!B53=""),"",'Customers revenue and run costs'!K5&gt;='Model inputs'!B53))),1,0)="",0,IF(IF(IF(ISERROR('Customers revenue and run costs'!K5&gt;='Model inputs'!B53),'Customers revenue and run costs'!K5&gt;='Model inputs'!B53,IF(OR('Customers revenue and run costs'!K5="",'Model inputs'!B53=""),"",'Customers revenue and run costs'!K5&gt;='Model inputs'!B53))="",FALSE,IF(ISERROR('Customers revenue and run costs'!K5&gt;='Model inputs'!B53),'Customers revenue and run costs'!K5&gt;='Model inputs'!B53,IF(OR('Customers revenue and run costs'!K5="",'Model inputs'!B53=""),"",'Customers revenue and run costs'!K5&gt;='Model inputs'!B53))),1,0))</f>
        <v>1</v>
      </c>
      <c r="L6" s="14">
        <f>'Model inputs'!B45*IF(IF(IF(IF(ISERROR('Customers revenue and run costs'!L5&gt;='Model inputs'!B53),'Customers revenue and run costs'!L5&gt;='Model inputs'!B53,IF(OR('Customers revenue and run costs'!L5="",'Model inputs'!B53=""),"",'Customers revenue and run costs'!L5&gt;='Model inputs'!B53))="",FALSE,IF(ISERROR('Customers revenue and run costs'!L5&gt;='Model inputs'!B53),'Customers revenue and run costs'!L5&gt;='Model inputs'!B53,IF(OR('Customers revenue and run costs'!L5="",'Model inputs'!B53=""),"",'Customers revenue and run costs'!L5&gt;='Model inputs'!B53))),1,0)="",0,IF(IF(IF(ISERROR('Customers revenue and run costs'!L5&gt;='Model inputs'!B53),'Customers revenue and run costs'!L5&gt;='Model inputs'!B53,IF(OR('Customers revenue and run costs'!L5="",'Model inputs'!B53=""),"",'Customers revenue and run costs'!L5&gt;='Model inputs'!B53))="",FALSE,IF(ISERROR('Customers revenue and run costs'!L5&gt;='Model inputs'!B53),'Customers revenue and run costs'!L5&gt;='Model inputs'!B53,IF(OR('Customers revenue and run costs'!L5="",'Model inputs'!B53=""),"",'Customers revenue and run costs'!L5&gt;='Model inputs'!B53))),1,0))</f>
        <v>1</v>
      </c>
      <c r="M6" s="14">
        <f>'Model inputs'!B45*IF(IF(IF(IF(ISERROR('Customers revenue and run costs'!M5&gt;='Model inputs'!B53),'Customers revenue and run costs'!M5&gt;='Model inputs'!B53,IF(OR('Customers revenue and run costs'!M5="",'Model inputs'!B53=""),"",'Customers revenue and run costs'!M5&gt;='Model inputs'!B53))="",FALSE,IF(ISERROR('Customers revenue and run costs'!M5&gt;='Model inputs'!B53),'Customers revenue and run costs'!M5&gt;='Model inputs'!B53,IF(OR('Customers revenue and run costs'!M5="",'Model inputs'!B53=""),"",'Customers revenue and run costs'!M5&gt;='Model inputs'!B53))),1,0)="",0,IF(IF(IF(ISERROR('Customers revenue and run costs'!M5&gt;='Model inputs'!B53),'Customers revenue and run costs'!M5&gt;='Model inputs'!B53,IF(OR('Customers revenue and run costs'!M5="",'Model inputs'!B53=""),"",'Customers revenue and run costs'!M5&gt;='Model inputs'!B53))="",FALSE,IF(ISERROR('Customers revenue and run costs'!M5&gt;='Model inputs'!B53),'Customers revenue and run costs'!M5&gt;='Model inputs'!B53,IF(OR('Customers revenue and run costs'!M5="",'Model inputs'!B53=""),"",'Customers revenue and run costs'!M5&gt;='Model inputs'!B53))),1,0))</f>
        <v>1</v>
      </c>
    </row>
    <row r="7" outlineLevel="1">
      <c r="A7" t="inlineStr" s="13">
        <is>
          <t xml:space="preserve">Founder 2</t>
        </is>
      </c>
      <c r="B7" s="14">
        <f>'Model inputs'!B46*IF(IF(IF(IF(ISERROR('Customers revenue and run costs'!B5&gt;='Model inputs'!B54),'Customers revenue and run costs'!B5&gt;='Model inputs'!B54,IF(OR('Customers revenue and run costs'!B5="",'Model inputs'!B54=""),"",'Customers revenue and run costs'!B5&gt;='Model inputs'!B54))="",FALSE,IF(ISERROR('Customers revenue and run costs'!B5&gt;='Model inputs'!B54),'Customers revenue and run costs'!B5&gt;='Model inputs'!B54,IF(OR('Customers revenue and run costs'!B5="",'Model inputs'!B54=""),"",'Customers revenue and run costs'!B5&gt;='Model inputs'!B54))),1,0)="",0,IF(IF(IF(ISERROR('Customers revenue and run costs'!B5&gt;='Model inputs'!B54),'Customers revenue and run costs'!B5&gt;='Model inputs'!B54,IF(OR('Customers revenue and run costs'!B5="",'Model inputs'!B54=""),"",'Customers revenue and run costs'!B5&gt;='Model inputs'!B54))="",FALSE,IF(ISERROR('Customers revenue and run costs'!B5&gt;='Model inputs'!B54),'Customers revenue and run costs'!B5&gt;='Model inputs'!B54,IF(OR('Customers revenue and run costs'!B5="",'Model inputs'!B54=""),"",'Customers revenue and run costs'!B5&gt;='Model inputs'!B54))),1,0))</f>
        <v>1</v>
      </c>
      <c r="C7" s="14">
        <f>'Model inputs'!B46*IF(IF(IF(IF(ISERROR('Customers revenue and run costs'!C5&gt;='Model inputs'!B54),'Customers revenue and run costs'!C5&gt;='Model inputs'!B54,IF(OR('Customers revenue and run costs'!C5="",'Model inputs'!B54=""),"",'Customers revenue and run costs'!C5&gt;='Model inputs'!B54))="",FALSE,IF(ISERROR('Customers revenue and run costs'!C5&gt;='Model inputs'!B54),'Customers revenue and run costs'!C5&gt;='Model inputs'!B54,IF(OR('Customers revenue and run costs'!C5="",'Model inputs'!B54=""),"",'Customers revenue and run costs'!C5&gt;='Model inputs'!B54))),1,0)="",0,IF(IF(IF(ISERROR('Customers revenue and run costs'!C5&gt;='Model inputs'!B54),'Customers revenue and run costs'!C5&gt;='Model inputs'!B54,IF(OR('Customers revenue and run costs'!C5="",'Model inputs'!B54=""),"",'Customers revenue and run costs'!C5&gt;='Model inputs'!B54))="",FALSE,IF(ISERROR('Customers revenue and run costs'!C5&gt;='Model inputs'!B54),'Customers revenue and run costs'!C5&gt;='Model inputs'!B54,IF(OR('Customers revenue and run costs'!C5="",'Model inputs'!B54=""),"",'Customers revenue and run costs'!C5&gt;='Model inputs'!B54))),1,0))</f>
        <v>1</v>
      </c>
      <c r="D7" s="14">
        <f>'Model inputs'!B46*IF(IF(IF(IF(ISERROR('Customers revenue and run costs'!D5&gt;='Model inputs'!B54),'Customers revenue and run costs'!D5&gt;='Model inputs'!B54,IF(OR('Customers revenue and run costs'!D5="",'Model inputs'!B54=""),"",'Customers revenue and run costs'!D5&gt;='Model inputs'!B54))="",FALSE,IF(ISERROR('Customers revenue and run costs'!D5&gt;='Model inputs'!B54),'Customers revenue and run costs'!D5&gt;='Model inputs'!B54,IF(OR('Customers revenue and run costs'!D5="",'Model inputs'!B54=""),"",'Customers revenue and run costs'!D5&gt;='Model inputs'!B54))),1,0)="",0,IF(IF(IF(ISERROR('Customers revenue and run costs'!D5&gt;='Model inputs'!B54),'Customers revenue and run costs'!D5&gt;='Model inputs'!B54,IF(OR('Customers revenue and run costs'!D5="",'Model inputs'!B54=""),"",'Customers revenue and run costs'!D5&gt;='Model inputs'!B54))="",FALSE,IF(ISERROR('Customers revenue and run costs'!D5&gt;='Model inputs'!B54),'Customers revenue and run costs'!D5&gt;='Model inputs'!B54,IF(OR('Customers revenue and run costs'!D5="",'Model inputs'!B54=""),"",'Customers revenue and run costs'!D5&gt;='Model inputs'!B54))),1,0))</f>
        <v>1</v>
      </c>
      <c r="E7" s="14">
        <f>'Model inputs'!B46*IF(IF(IF(IF(ISERROR('Customers revenue and run costs'!E5&gt;='Model inputs'!B54),'Customers revenue and run costs'!E5&gt;='Model inputs'!B54,IF(OR('Customers revenue and run costs'!E5="",'Model inputs'!B54=""),"",'Customers revenue and run costs'!E5&gt;='Model inputs'!B54))="",FALSE,IF(ISERROR('Customers revenue and run costs'!E5&gt;='Model inputs'!B54),'Customers revenue and run costs'!E5&gt;='Model inputs'!B54,IF(OR('Customers revenue and run costs'!E5="",'Model inputs'!B54=""),"",'Customers revenue and run costs'!E5&gt;='Model inputs'!B54))),1,0)="",0,IF(IF(IF(ISERROR('Customers revenue and run costs'!E5&gt;='Model inputs'!B54),'Customers revenue and run costs'!E5&gt;='Model inputs'!B54,IF(OR('Customers revenue and run costs'!E5="",'Model inputs'!B54=""),"",'Customers revenue and run costs'!E5&gt;='Model inputs'!B54))="",FALSE,IF(ISERROR('Customers revenue and run costs'!E5&gt;='Model inputs'!B54),'Customers revenue and run costs'!E5&gt;='Model inputs'!B54,IF(OR('Customers revenue and run costs'!E5="",'Model inputs'!B54=""),"",'Customers revenue and run costs'!E5&gt;='Model inputs'!B54))),1,0))</f>
        <v>1</v>
      </c>
      <c r="F7" s="14">
        <f>'Model inputs'!B46*IF(IF(IF(IF(ISERROR('Customers revenue and run costs'!F5&gt;='Model inputs'!B54),'Customers revenue and run costs'!F5&gt;='Model inputs'!B54,IF(OR('Customers revenue and run costs'!F5="",'Model inputs'!B54=""),"",'Customers revenue and run costs'!F5&gt;='Model inputs'!B54))="",FALSE,IF(ISERROR('Customers revenue and run costs'!F5&gt;='Model inputs'!B54),'Customers revenue and run costs'!F5&gt;='Model inputs'!B54,IF(OR('Customers revenue and run costs'!F5="",'Model inputs'!B54=""),"",'Customers revenue and run costs'!F5&gt;='Model inputs'!B54))),1,0)="",0,IF(IF(IF(ISERROR('Customers revenue and run costs'!F5&gt;='Model inputs'!B54),'Customers revenue and run costs'!F5&gt;='Model inputs'!B54,IF(OR('Customers revenue and run costs'!F5="",'Model inputs'!B54=""),"",'Customers revenue and run costs'!F5&gt;='Model inputs'!B54))="",FALSE,IF(ISERROR('Customers revenue and run costs'!F5&gt;='Model inputs'!B54),'Customers revenue and run costs'!F5&gt;='Model inputs'!B54,IF(OR('Customers revenue and run costs'!F5="",'Model inputs'!B54=""),"",'Customers revenue and run costs'!F5&gt;='Model inputs'!B54))),1,0))</f>
        <v>1</v>
      </c>
      <c r="G7" s="14">
        <f>'Model inputs'!B46*IF(IF(IF(IF(ISERROR('Customers revenue and run costs'!G5&gt;='Model inputs'!B54),'Customers revenue and run costs'!G5&gt;='Model inputs'!B54,IF(OR('Customers revenue and run costs'!G5="",'Model inputs'!B54=""),"",'Customers revenue and run costs'!G5&gt;='Model inputs'!B54))="",FALSE,IF(ISERROR('Customers revenue and run costs'!G5&gt;='Model inputs'!B54),'Customers revenue and run costs'!G5&gt;='Model inputs'!B54,IF(OR('Customers revenue and run costs'!G5="",'Model inputs'!B54=""),"",'Customers revenue and run costs'!G5&gt;='Model inputs'!B54))),1,0)="",0,IF(IF(IF(ISERROR('Customers revenue and run costs'!G5&gt;='Model inputs'!B54),'Customers revenue and run costs'!G5&gt;='Model inputs'!B54,IF(OR('Customers revenue and run costs'!G5="",'Model inputs'!B54=""),"",'Customers revenue and run costs'!G5&gt;='Model inputs'!B54))="",FALSE,IF(ISERROR('Customers revenue and run costs'!G5&gt;='Model inputs'!B54),'Customers revenue and run costs'!G5&gt;='Model inputs'!B54,IF(OR('Customers revenue and run costs'!G5="",'Model inputs'!B54=""),"",'Customers revenue and run costs'!G5&gt;='Model inputs'!B54))),1,0))</f>
        <v>1</v>
      </c>
      <c r="H7" s="14">
        <f>'Model inputs'!B46*IF(IF(IF(IF(ISERROR('Customers revenue and run costs'!H5&gt;='Model inputs'!B54),'Customers revenue and run costs'!H5&gt;='Model inputs'!B54,IF(OR('Customers revenue and run costs'!H5="",'Model inputs'!B54=""),"",'Customers revenue and run costs'!H5&gt;='Model inputs'!B54))="",FALSE,IF(ISERROR('Customers revenue and run costs'!H5&gt;='Model inputs'!B54),'Customers revenue and run costs'!H5&gt;='Model inputs'!B54,IF(OR('Customers revenue and run costs'!H5="",'Model inputs'!B54=""),"",'Customers revenue and run costs'!H5&gt;='Model inputs'!B54))),1,0)="",0,IF(IF(IF(ISERROR('Customers revenue and run costs'!H5&gt;='Model inputs'!B54),'Customers revenue and run costs'!H5&gt;='Model inputs'!B54,IF(OR('Customers revenue and run costs'!H5="",'Model inputs'!B54=""),"",'Customers revenue and run costs'!H5&gt;='Model inputs'!B54))="",FALSE,IF(ISERROR('Customers revenue and run costs'!H5&gt;='Model inputs'!B54),'Customers revenue and run costs'!H5&gt;='Model inputs'!B54,IF(OR('Customers revenue and run costs'!H5="",'Model inputs'!B54=""),"",'Customers revenue and run costs'!H5&gt;='Model inputs'!B54))),1,0))</f>
        <v>1</v>
      </c>
      <c r="I7" s="14">
        <f>'Model inputs'!B46*IF(IF(IF(IF(ISERROR('Customers revenue and run costs'!I5&gt;='Model inputs'!B54),'Customers revenue and run costs'!I5&gt;='Model inputs'!B54,IF(OR('Customers revenue and run costs'!I5="",'Model inputs'!B54=""),"",'Customers revenue and run costs'!I5&gt;='Model inputs'!B54))="",FALSE,IF(ISERROR('Customers revenue and run costs'!I5&gt;='Model inputs'!B54),'Customers revenue and run costs'!I5&gt;='Model inputs'!B54,IF(OR('Customers revenue and run costs'!I5="",'Model inputs'!B54=""),"",'Customers revenue and run costs'!I5&gt;='Model inputs'!B54))),1,0)="",0,IF(IF(IF(ISERROR('Customers revenue and run costs'!I5&gt;='Model inputs'!B54),'Customers revenue and run costs'!I5&gt;='Model inputs'!B54,IF(OR('Customers revenue and run costs'!I5="",'Model inputs'!B54=""),"",'Customers revenue and run costs'!I5&gt;='Model inputs'!B54))="",FALSE,IF(ISERROR('Customers revenue and run costs'!I5&gt;='Model inputs'!B54),'Customers revenue and run costs'!I5&gt;='Model inputs'!B54,IF(OR('Customers revenue and run costs'!I5="",'Model inputs'!B54=""),"",'Customers revenue and run costs'!I5&gt;='Model inputs'!B54))),1,0))</f>
        <v>1</v>
      </c>
      <c r="J7" s="14">
        <f>'Model inputs'!B46*IF(IF(IF(IF(ISERROR('Customers revenue and run costs'!J5&gt;='Model inputs'!B54),'Customers revenue and run costs'!J5&gt;='Model inputs'!B54,IF(OR('Customers revenue and run costs'!J5="",'Model inputs'!B54=""),"",'Customers revenue and run costs'!J5&gt;='Model inputs'!B54))="",FALSE,IF(ISERROR('Customers revenue and run costs'!J5&gt;='Model inputs'!B54),'Customers revenue and run costs'!J5&gt;='Model inputs'!B54,IF(OR('Customers revenue and run costs'!J5="",'Model inputs'!B54=""),"",'Customers revenue and run costs'!J5&gt;='Model inputs'!B54))),1,0)="",0,IF(IF(IF(ISERROR('Customers revenue and run costs'!J5&gt;='Model inputs'!B54),'Customers revenue and run costs'!J5&gt;='Model inputs'!B54,IF(OR('Customers revenue and run costs'!J5="",'Model inputs'!B54=""),"",'Customers revenue and run costs'!J5&gt;='Model inputs'!B54))="",FALSE,IF(ISERROR('Customers revenue and run costs'!J5&gt;='Model inputs'!B54),'Customers revenue and run costs'!J5&gt;='Model inputs'!B54,IF(OR('Customers revenue and run costs'!J5="",'Model inputs'!B54=""),"",'Customers revenue and run costs'!J5&gt;='Model inputs'!B54))),1,0))</f>
        <v>1</v>
      </c>
      <c r="K7" s="14">
        <f>'Model inputs'!B46*IF(IF(IF(IF(ISERROR('Customers revenue and run costs'!K5&gt;='Model inputs'!B54),'Customers revenue and run costs'!K5&gt;='Model inputs'!B54,IF(OR('Customers revenue and run costs'!K5="",'Model inputs'!B54=""),"",'Customers revenue and run costs'!K5&gt;='Model inputs'!B54))="",FALSE,IF(ISERROR('Customers revenue and run costs'!K5&gt;='Model inputs'!B54),'Customers revenue and run costs'!K5&gt;='Model inputs'!B54,IF(OR('Customers revenue and run costs'!K5="",'Model inputs'!B54=""),"",'Customers revenue and run costs'!K5&gt;='Model inputs'!B54))),1,0)="",0,IF(IF(IF(ISERROR('Customers revenue and run costs'!K5&gt;='Model inputs'!B54),'Customers revenue and run costs'!K5&gt;='Model inputs'!B54,IF(OR('Customers revenue and run costs'!K5="",'Model inputs'!B54=""),"",'Customers revenue and run costs'!K5&gt;='Model inputs'!B54))="",FALSE,IF(ISERROR('Customers revenue and run costs'!K5&gt;='Model inputs'!B54),'Customers revenue and run costs'!K5&gt;='Model inputs'!B54,IF(OR('Customers revenue and run costs'!K5="",'Model inputs'!B54=""),"",'Customers revenue and run costs'!K5&gt;='Model inputs'!B54))),1,0))</f>
        <v>1</v>
      </c>
      <c r="L7" s="14">
        <f>'Model inputs'!B46*IF(IF(IF(IF(ISERROR('Customers revenue and run costs'!L5&gt;='Model inputs'!B54),'Customers revenue and run costs'!L5&gt;='Model inputs'!B54,IF(OR('Customers revenue and run costs'!L5="",'Model inputs'!B54=""),"",'Customers revenue and run costs'!L5&gt;='Model inputs'!B54))="",FALSE,IF(ISERROR('Customers revenue and run costs'!L5&gt;='Model inputs'!B54),'Customers revenue and run costs'!L5&gt;='Model inputs'!B54,IF(OR('Customers revenue and run costs'!L5="",'Model inputs'!B54=""),"",'Customers revenue and run costs'!L5&gt;='Model inputs'!B54))),1,0)="",0,IF(IF(IF(ISERROR('Customers revenue and run costs'!L5&gt;='Model inputs'!B54),'Customers revenue and run costs'!L5&gt;='Model inputs'!B54,IF(OR('Customers revenue and run costs'!L5="",'Model inputs'!B54=""),"",'Customers revenue and run costs'!L5&gt;='Model inputs'!B54))="",FALSE,IF(ISERROR('Customers revenue and run costs'!L5&gt;='Model inputs'!B54),'Customers revenue and run costs'!L5&gt;='Model inputs'!B54,IF(OR('Customers revenue and run costs'!L5="",'Model inputs'!B54=""),"",'Customers revenue and run costs'!L5&gt;='Model inputs'!B54))),1,0))</f>
        <v>1</v>
      </c>
      <c r="M7" s="14">
        <f>'Model inputs'!B46*IF(IF(IF(IF(ISERROR('Customers revenue and run costs'!M5&gt;='Model inputs'!B54),'Customers revenue and run costs'!M5&gt;='Model inputs'!B54,IF(OR('Customers revenue and run costs'!M5="",'Model inputs'!B54=""),"",'Customers revenue and run costs'!M5&gt;='Model inputs'!B54))="",FALSE,IF(ISERROR('Customers revenue and run costs'!M5&gt;='Model inputs'!B54),'Customers revenue and run costs'!M5&gt;='Model inputs'!B54,IF(OR('Customers revenue and run costs'!M5="",'Model inputs'!B54=""),"",'Customers revenue and run costs'!M5&gt;='Model inputs'!B54))),1,0)="",0,IF(IF(IF(ISERROR('Customers revenue and run costs'!M5&gt;='Model inputs'!B54),'Customers revenue and run costs'!M5&gt;='Model inputs'!B54,IF(OR('Customers revenue and run costs'!M5="",'Model inputs'!B54=""),"",'Customers revenue and run costs'!M5&gt;='Model inputs'!B54))="",FALSE,IF(ISERROR('Customers revenue and run costs'!M5&gt;='Model inputs'!B54),'Customers revenue and run costs'!M5&gt;='Model inputs'!B54,IF(OR('Customers revenue and run costs'!M5="",'Model inputs'!B54=""),"",'Customers revenue and run costs'!M5&gt;='Model inputs'!B54))),1,0))</f>
        <v>1</v>
      </c>
    </row>
    <row r="8" outlineLevel="1">
      <c r="A8" t="inlineStr" s="13">
        <is>
          <t xml:space="preserve">Planned engineer</t>
        </is>
      </c>
      <c r="B8" s="14">
        <f>'Model inputs'!B47*IF(IF(IF(IF(ISERROR('Customers revenue and run costs'!B5&gt;='Model inputs'!B55),'Customers revenue and run costs'!B5&gt;='Model inputs'!B55,IF(OR('Customers revenue and run costs'!B5="",'Model inputs'!B55=""),"",'Customers revenue and run costs'!B5&gt;='Model inputs'!B55))="",FALSE,IF(ISERROR('Customers revenue and run costs'!B5&gt;='Model inputs'!B55),'Customers revenue and run costs'!B5&gt;='Model inputs'!B55,IF(OR('Customers revenue and run costs'!B5="",'Model inputs'!B55=""),"",'Customers revenue and run costs'!B5&gt;='Model inputs'!B55))),1,0)="",0,IF(IF(IF(ISERROR('Customers revenue and run costs'!B5&gt;='Model inputs'!B55),'Customers revenue and run costs'!B5&gt;='Model inputs'!B55,IF(OR('Customers revenue and run costs'!B5="",'Model inputs'!B55=""),"",'Customers revenue and run costs'!B5&gt;='Model inputs'!B55))="",FALSE,IF(ISERROR('Customers revenue and run costs'!B5&gt;='Model inputs'!B55),'Customers revenue and run costs'!B5&gt;='Model inputs'!B55,IF(OR('Customers revenue and run costs'!B5="",'Model inputs'!B55=""),"",'Customers revenue and run costs'!B5&gt;='Model inputs'!B55))),1,0))</f>
        <v>0</v>
      </c>
      <c r="C8" s="14">
        <f>'Model inputs'!B47*IF(IF(IF(IF(ISERROR('Customers revenue and run costs'!C5&gt;='Model inputs'!B55),'Customers revenue and run costs'!C5&gt;='Model inputs'!B55,IF(OR('Customers revenue and run costs'!C5="",'Model inputs'!B55=""),"",'Customers revenue and run costs'!C5&gt;='Model inputs'!B55))="",FALSE,IF(ISERROR('Customers revenue and run costs'!C5&gt;='Model inputs'!B55),'Customers revenue and run costs'!C5&gt;='Model inputs'!B55,IF(OR('Customers revenue and run costs'!C5="",'Model inputs'!B55=""),"",'Customers revenue and run costs'!C5&gt;='Model inputs'!B55))),1,0)="",0,IF(IF(IF(ISERROR('Customers revenue and run costs'!C5&gt;='Model inputs'!B55),'Customers revenue and run costs'!C5&gt;='Model inputs'!B55,IF(OR('Customers revenue and run costs'!C5="",'Model inputs'!B55=""),"",'Customers revenue and run costs'!C5&gt;='Model inputs'!B55))="",FALSE,IF(ISERROR('Customers revenue and run costs'!C5&gt;='Model inputs'!B55),'Customers revenue and run costs'!C5&gt;='Model inputs'!B55,IF(OR('Customers revenue and run costs'!C5="",'Model inputs'!B55=""),"",'Customers revenue and run costs'!C5&gt;='Model inputs'!B55))),1,0))</f>
        <v>0</v>
      </c>
      <c r="D8" s="14">
        <f>'Model inputs'!B47*IF(IF(IF(IF(ISERROR('Customers revenue and run costs'!D5&gt;='Model inputs'!B55),'Customers revenue and run costs'!D5&gt;='Model inputs'!B55,IF(OR('Customers revenue and run costs'!D5="",'Model inputs'!B55=""),"",'Customers revenue and run costs'!D5&gt;='Model inputs'!B55))="",FALSE,IF(ISERROR('Customers revenue and run costs'!D5&gt;='Model inputs'!B55),'Customers revenue and run costs'!D5&gt;='Model inputs'!B55,IF(OR('Customers revenue and run costs'!D5="",'Model inputs'!B55=""),"",'Customers revenue and run costs'!D5&gt;='Model inputs'!B55))),1,0)="",0,IF(IF(IF(ISERROR('Customers revenue and run costs'!D5&gt;='Model inputs'!B55),'Customers revenue and run costs'!D5&gt;='Model inputs'!B55,IF(OR('Customers revenue and run costs'!D5="",'Model inputs'!B55=""),"",'Customers revenue and run costs'!D5&gt;='Model inputs'!B55))="",FALSE,IF(ISERROR('Customers revenue and run costs'!D5&gt;='Model inputs'!B55),'Customers revenue and run costs'!D5&gt;='Model inputs'!B55,IF(OR('Customers revenue and run costs'!D5="",'Model inputs'!B55=""),"",'Customers revenue and run costs'!D5&gt;='Model inputs'!B55))),1,0))</f>
        <v>0</v>
      </c>
      <c r="E8" s="14">
        <f>'Model inputs'!B47*IF(IF(IF(IF(ISERROR('Customers revenue and run costs'!E5&gt;='Model inputs'!B55),'Customers revenue and run costs'!E5&gt;='Model inputs'!B55,IF(OR('Customers revenue and run costs'!E5="",'Model inputs'!B55=""),"",'Customers revenue and run costs'!E5&gt;='Model inputs'!B55))="",FALSE,IF(ISERROR('Customers revenue and run costs'!E5&gt;='Model inputs'!B55),'Customers revenue and run costs'!E5&gt;='Model inputs'!B55,IF(OR('Customers revenue and run costs'!E5="",'Model inputs'!B55=""),"",'Customers revenue and run costs'!E5&gt;='Model inputs'!B55))),1,0)="",0,IF(IF(IF(ISERROR('Customers revenue and run costs'!E5&gt;='Model inputs'!B55),'Customers revenue and run costs'!E5&gt;='Model inputs'!B55,IF(OR('Customers revenue and run costs'!E5="",'Model inputs'!B55=""),"",'Customers revenue and run costs'!E5&gt;='Model inputs'!B55))="",FALSE,IF(ISERROR('Customers revenue and run costs'!E5&gt;='Model inputs'!B55),'Customers revenue and run costs'!E5&gt;='Model inputs'!B55,IF(OR('Customers revenue and run costs'!E5="",'Model inputs'!B55=""),"",'Customers revenue and run costs'!E5&gt;='Model inputs'!B55))),1,0))</f>
        <v>0</v>
      </c>
      <c r="F8" s="14">
        <f>'Model inputs'!B47*IF(IF(IF(IF(ISERROR('Customers revenue and run costs'!F5&gt;='Model inputs'!B55),'Customers revenue and run costs'!F5&gt;='Model inputs'!B55,IF(OR('Customers revenue and run costs'!F5="",'Model inputs'!B55=""),"",'Customers revenue and run costs'!F5&gt;='Model inputs'!B55))="",FALSE,IF(ISERROR('Customers revenue and run costs'!F5&gt;='Model inputs'!B55),'Customers revenue and run costs'!F5&gt;='Model inputs'!B55,IF(OR('Customers revenue and run costs'!F5="",'Model inputs'!B55=""),"",'Customers revenue and run costs'!F5&gt;='Model inputs'!B55))),1,0)="",0,IF(IF(IF(ISERROR('Customers revenue and run costs'!F5&gt;='Model inputs'!B55),'Customers revenue and run costs'!F5&gt;='Model inputs'!B55,IF(OR('Customers revenue and run costs'!F5="",'Model inputs'!B55=""),"",'Customers revenue and run costs'!F5&gt;='Model inputs'!B55))="",FALSE,IF(ISERROR('Customers revenue and run costs'!F5&gt;='Model inputs'!B55),'Customers revenue and run costs'!F5&gt;='Model inputs'!B55,IF(OR('Customers revenue and run costs'!F5="",'Model inputs'!B55=""),"",'Customers revenue and run costs'!F5&gt;='Model inputs'!B55))),1,0))</f>
        <v>0</v>
      </c>
      <c r="G8" s="14">
        <f>'Model inputs'!B47*IF(IF(IF(IF(ISERROR('Customers revenue and run costs'!G5&gt;='Model inputs'!B55),'Customers revenue and run costs'!G5&gt;='Model inputs'!B55,IF(OR('Customers revenue and run costs'!G5="",'Model inputs'!B55=""),"",'Customers revenue and run costs'!G5&gt;='Model inputs'!B55))="",FALSE,IF(ISERROR('Customers revenue and run costs'!G5&gt;='Model inputs'!B55),'Customers revenue and run costs'!G5&gt;='Model inputs'!B55,IF(OR('Customers revenue and run costs'!G5="",'Model inputs'!B55=""),"",'Customers revenue and run costs'!G5&gt;='Model inputs'!B55))),1,0)="",0,IF(IF(IF(ISERROR('Customers revenue and run costs'!G5&gt;='Model inputs'!B55),'Customers revenue and run costs'!G5&gt;='Model inputs'!B55,IF(OR('Customers revenue and run costs'!G5="",'Model inputs'!B55=""),"",'Customers revenue and run costs'!G5&gt;='Model inputs'!B55))="",FALSE,IF(ISERROR('Customers revenue and run costs'!G5&gt;='Model inputs'!B55),'Customers revenue and run costs'!G5&gt;='Model inputs'!B55,IF(OR('Customers revenue and run costs'!G5="",'Model inputs'!B55=""),"",'Customers revenue and run costs'!G5&gt;='Model inputs'!B55))),1,0))</f>
        <v>0</v>
      </c>
      <c r="H8" s="14">
        <f>'Model inputs'!B47*IF(IF(IF(IF(ISERROR('Customers revenue and run costs'!H5&gt;='Model inputs'!B55),'Customers revenue and run costs'!H5&gt;='Model inputs'!B55,IF(OR('Customers revenue and run costs'!H5="",'Model inputs'!B55=""),"",'Customers revenue and run costs'!H5&gt;='Model inputs'!B55))="",FALSE,IF(ISERROR('Customers revenue and run costs'!H5&gt;='Model inputs'!B55),'Customers revenue and run costs'!H5&gt;='Model inputs'!B55,IF(OR('Customers revenue and run costs'!H5="",'Model inputs'!B55=""),"",'Customers revenue and run costs'!H5&gt;='Model inputs'!B55))),1,0)="",0,IF(IF(IF(ISERROR('Customers revenue and run costs'!H5&gt;='Model inputs'!B55),'Customers revenue and run costs'!H5&gt;='Model inputs'!B55,IF(OR('Customers revenue and run costs'!H5="",'Model inputs'!B55=""),"",'Customers revenue and run costs'!H5&gt;='Model inputs'!B55))="",FALSE,IF(ISERROR('Customers revenue and run costs'!H5&gt;='Model inputs'!B55),'Customers revenue and run costs'!H5&gt;='Model inputs'!B55,IF(OR('Customers revenue and run costs'!H5="",'Model inputs'!B55=""),"",'Customers revenue and run costs'!H5&gt;='Model inputs'!B55))),1,0))</f>
        <v>0</v>
      </c>
      <c r="I8" s="14">
        <f>'Model inputs'!B47*IF(IF(IF(IF(ISERROR('Customers revenue and run costs'!I5&gt;='Model inputs'!B55),'Customers revenue and run costs'!I5&gt;='Model inputs'!B55,IF(OR('Customers revenue and run costs'!I5="",'Model inputs'!B55=""),"",'Customers revenue and run costs'!I5&gt;='Model inputs'!B55))="",FALSE,IF(ISERROR('Customers revenue and run costs'!I5&gt;='Model inputs'!B55),'Customers revenue and run costs'!I5&gt;='Model inputs'!B55,IF(OR('Customers revenue and run costs'!I5="",'Model inputs'!B55=""),"",'Customers revenue and run costs'!I5&gt;='Model inputs'!B55))),1,0)="",0,IF(IF(IF(ISERROR('Customers revenue and run costs'!I5&gt;='Model inputs'!B55),'Customers revenue and run costs'!I5&gt;='Model inputs'!B55,IF(OR('Customers revenue and run costs'!I5="",'Model inputs'!B55=""),"",'Customers revenue and run costs'!I5&gt;='Model inputs'!B55))="",FALSE,IF(ISERROR('Customers revenue and run costs'!I5&gt;='Model inputs'!B55),'Customers revenue and run costs'!I5&gt;='Model inputs'!B55,IF(OR('Customers revenue and run costs'!I5="",'Model inputs'!B55=""),"",'Customers revenue and run costs'!I5&gt;='Model inputs'!B55))),1,0))</f>
        <v>0</v>
      </c>
      <c r="J8" s="14">
        <f>'Model inputs'!B47*IF(IF(IF(IF(ISERROR('Customers revenue and run costs'!J5&gt;='Model inputs'!B55),'Customers revenue and run costs'!J5&gt;='Model inputs'!B55,IF(OR('Customers revenue and run costs'!J5="",'Model inputs'!B55=""),"",'Customers revenue and run costs'!J5&gt;='Model inputs'!B55))="",FALSE,IF(ISERROR('Customers revenue and run costs'!J5&gt;='Model inputs'!B55),'Customers revenue and run costs'!J5&gt;='Model inputs'!B55,IF(OR('Customers revenue and run costs'!J5="",'Model inputs'!B55=""),"",'Customers revenue and run costs'!J5&gt;='Model inputs'!B55))),1,0)="",0,IF(IF(IF(ISERROR('Customers revenue and run costs'!J5&gt;='Model inputs'!B55),'Customers revenue and run costs'!J5&gt;='Model inputs'!B55,IF(OR('Customers revenue and run costs'!J5="",'Model inputs'!B55=""),"",'Customers revenue and run costs'!J5&gt;='Model inputs'!B55))="",FALSE,IF(ISERROR('Customers revenue and run costs'!J5&gt;='Model inputs'!B55),'Customers revenue and run costs'!J5&gt;='Model inputs'!B55,IF(OR('Customers revenue and run costs'!J5="",'Model inputs'!B55=""),"",'Customers revenue and run costs'!J5&gt;='Model inputs'!B55))),1,0))</f>
        <v>0</v>
      </c>
      <c r="K8" s="14">
        <f>'Model inputs'!B47*IF(IF(IF(IF(ISERROR('Customers revenue and run costs'!K5&gt;='Model inputs'!B55),'Customers revenue and run costs'!K5&gt;='Model inputs'!B55,IF(OR('Customers revenue and run costs'!K5="",'Model inputs'!B55=""),"",'Customers revenue and run costs'!K5&gt;='Model inputs'!B55))="",FALSE,IF(ISERROR('Customers revenue and run costs'!K5&gt;='Model inputs'!B55),'Customers revenue and run costs'!K5&gt;='Model inputs'!B55,IF(OR('Customers revenue and run costs'!K5="",'Model inputs'!B55=""),"",'Customers revenue and run costs'!K5&gt;='Model inputs'!B55))),1,0)="",0,IF(IF(IF(ISERROR('Customers revenue and run costs'!K5&gt;='Model inputs'!B55),'Customers revenue and run costs'!K5&gt;='Model inputs'!B55,IF(OR('Customers revenue and run costs'!K5="",'Model inputs'!B55=""),"",'Customers revenue and run costs'!K5&gt;='Model inputs'!B55))="",FALSE,IF(ISERROR('Customers revenue and run costs'!K5&gt;='Model inputs'!B55),'Customers revenue and run costs'!K5&gt;='Model inputs'!B55,IF(OR('Customers revenue and run costs'!K5="",'Model inputs'!B55=""),"",'Customers revenue and run costs'!K5&gt;='Model inputs'!B55))),1,0))</f>
        <v>0</v>
      </c>
      <c r="L8" s="14">
        <f>'Model inputs'!B47*IF(IF(IF(IF(ISERROR('Customers revenue and run costs'!L5&gt;='Model inputs'!B55),'Customers revenue and run costs'!L5&gt;='Model inputs'!B55,IF(OR('Customers revenue and run costs'!L5="",'Model inputs'!B55=""),"",'Customers revenue and run costs'!L5&gt;='Model inputs'!B55))="",FALSE,IF(ISERROR('Customers revenue and run costs'!L5&gt;='Model inputs'!B55),'Customers revenue and run costs'!L5&gt;='Model inputs'!B55,IF(OR('Customers revenue and run costs'!L5="",'Model inputs'!B55=""),"",'Customers revenue and run costs'!L5&gt;='Model inputs'!B55))),1,0)="",0,IF(IF(IF(ISERROR('Customers revenue and run costs'!L5&gt;='Model inputs'!B55),'Customers revenue and run costs'!L5&gt;='Model inputs'!B55,IF(OR('Customers revenue and run costs'!L5="",'Model inputs'!B55=""),"",'Customers revenue and run costs'!L5&gt;='Model inputs'!B55))="",FALSE,IF(ISERROR('Customers revenue and run costs'!L5&gt;='Model inputs'!B55),'Customers revenue and run costs'!L5&gt;='Model inputs'!B55,IF(OR('Customers revenue and run costs'!L5="",'Model inputs'!B55=""),"",'Customers revenue and run costs'!L5&gt;='Model inputs'!B55))),1,0))</f>
        <v>0</v>
      </c>
      <c r="M8" s="14">
        <f>'Model inputs'!B47*IF(IF(IF(IF(ISERROR('Customers revenue and run costs'!M5&gt;='Model inputs'!B55),'Customers revenue and run costs'!M5&gt;='Model inputs'!B55,IF(OR('Customers revenue and run costs'!M5="",'Model inputs'!B55=""),"",'Customers revenue and run costs'!M5&gt;='Model inputs'!B55))="",FALSE,IF(ISERROR('Customers revenue and run costs'!M5&gt;='Model inputs'!B55),'Customers revenue and run costs'!M5&gt;='Model inputs'!B55,IF(OR('Customers revenue and run costs'!M5="",'Model inputs'!B55=""),"",'Customers revenue and run costs'!M5&gt;='Model inputs'!B55))),1,0)="",0,IF(IF(IF(ISERROR('Customers revenue and run costs'!M5&gt;='Model inputs'!B55),'Customers revenue and run costs'!M5&gt;='Model inputs'!B55,IF(OR('Customers revenue and run costs'!M5="",'Model inputs'!B55=""),"",'Customers revenue and run costs'!M5&gt;='Model inputs'!B55))="",FALSE,IF(ISERROR('Customers revenue and run costs'!M5&gt;='Model inputs'!B55),'Customers revenue and run costs'!M5&gt;='Model inputs'!B55,IF(OR('Customers revenue and run costs'!M5="",'Model inputs'!B55=""),"",'Customers revenue and run costs'!M5&gt;='Model inputs'!B55))),1,0))</f>
        <v>0</v>
      </c>
    </row>
    <row r="9">
      <c r="A9" t="inlineStr" s="5">
        <is>
          <t xml:space="preserve">Forecast salaries</t>
        </is>
      </c>
      <c r="B9" s="6">
        <f>SUM('Monthly headcount and payroll'!B10,'Monthly headcount and payroll'!B11,'Monthly headcount and payroll'!B12)</f>
        <v>0</v>
      </c>
      <c r="C9" s="6">
        <f>SUM('Monthly headcount and payroll'!C10,'Monthly headcount and payroll'!C11,'Monthly headcount and payroll'!C12)</f>
        <v>0</v>
      </c>
      <c r="D9" s="6">
        <f>SUM('Monthly headcount and payroll'!D10,'Monthly headcount and payroll'!D11,'Monthly headcount and payroll'!D12)</f>
        <v>0</v>
      </c>
      <c r="E9" s="6">
        <f>SUM('Monthly headcount and payroll'!E10,'Monthly headcount and payroll'!E11,'Monthly headcount and payroll'!E12)</f>
        <v>0</v>
      </c>
      <c r="F9" s="6">
        <f>SUM('Monthly headcount and payroll'!F10,'Monthly headcount and payroll'!F11,'Monthly headcount and payroll'!F12)</f>
        <v>0</v>
      </c>
      <c r="G9" s="6">
        <f>SUM('Monthly headcount and payroll'!G10,'Monthly headcount and payroll'!G11,'Monthly headcount and payroll'!G12)</f>
        <v>0</v>
      </c>
      <c r="H9" s="6">
        <f>SUM('Monthly headcount and payroll'!H10,'Monthly headcount and payroll'!H11,'Monthly headcount and payroll'!H12)</f>
        <v>0</v>
      </c>
      <c r="I9" s="6">
        <f>SUM('Monthly headcount and payroll'!I10,'Monthly headcount and payroll'!I11,'Monthly headcount and payroll'!I12)</f>
        <v>0</v>
      </c>
      <c r="J9" s="6">
        <f>SUM('Monthly headcount and payroll'!J10,'Monthly headcount and payroll'!J11,'Monthly headcount and payroll'!J12)</f>
        <v>0</v>
      </c>
      <c r="K9" s="6">
        <f>SUM('Monthly headcount and payroll'!K10,'Monthly headcount and payroll'!K11,'Monthly headcount and payroll'!K12)</f>
        <v>0</v>
      </c>
      <c r="L9" s="6">
        <f>SUM('Monthly headcount and payroll'!L10,'Monthly headcount and payroll'!L11,'Monthly headcount and payroll'!L12)</f>
        <v>0</v>
      </c>
      <c r="M9" s="6">
        <f>SUM('Monthly headcount and payroll'!M10,'Monthly headcount and payroll'!M11,'Monthly headcount and payroll'!M12)</f>
        <v>0</v>
      </c>
    </row>
    <row r="10" outlineLevel="1">
      <c r="A10" t="inlineStr" s="13">
        <is>
          <t xml:space="preserve">Founder 1</t>
        </is>
      </c>
      <c r="B10" s="8">
        <f>'Monthly headcount and payroll'!B6*'Model inputs'!B49</f>
        <v>0</v>
      </c>
      <c r="C10" s="8">
        <f>'Monthly headcount and payroll'!C6*'Model inputs'!B49</f>
        <v>0</v>
      </c>
      <c r="D10" s="8">
        <f>'Monthly headcount and payroll'!D6*'Model inputs'!B49</f>
        <v>0</v>
      </c>
      <c r="E10" s="8">
        <f>'Monthly headcount and payroll'!E6*'Model inputs'!B49</f>
        <v>0</v>
      </c>
      <c r="F10" s="8">
        <f>'Monthly headcount and payroll'!F6*'Model inputs'!B49</f>
        <v>0</v>
      </c>
      <c r="G10" s="8">
        <f>'Monthly headcount and payroll'!G6*'Model inputs'!B49</f>
        <v>0</v>
      </c>
      <c r="H10" s="8">
        <f>'Monthly headcount and payroll'!H6*'Model inputs'!B49</f>
        <v>0</v>
      </c>
      <c r="I10" s="8">
        <f>'Monthly headcount and payroll'!I6*'Model inputs'!B49</f>
        <v>0</v>
      </c>
      <c r="J10" s="8">
        <f>'Monthly headcount and payroll'!J6*'Model inputs'!B49</f>
        <v>0</v>
      </c>
      <c r="K10" s="8">
        <f>'Monthly headcount and payroll'!K6*'Model inputs'!B49</f>
        <v>0</v>
      </c>
      <c r="L10" s="8">
        <f>'Monthly headcount and payroll'!L6*'Model inputs'!B49</f>
        <v>0</v>
      </c>
      <c r="M10" s="8">
        <f>'Monthly headcount and payroll'!M6*'Model inputs'!B49</f>
        <v>0</v>
      </c>
    </row>
    <row r="11" outlineLevel="1">
      <c r="A11" t="inlineStr" s="13">
        <is>
          <t xml:space="preserve">Founder 2</t>
        </is>
      </c>
      <c r="B11" s="8">
        <f>'Monthly headcount and payroll'!B7*'Model inputs'!B50</f>
        <v>0</v>
      </c>
      <c r="C11" s="8">
        <f>'Monthly headcount and payroll'!C7*'Model inputs'!B50</f>
        <v>0</v>
      </c>
      <c r="D11" s="8">
        <f>'Monthly headcount and payroll'!D7*'Model inputs'!B50</f>
        <v>0</v>
      </c>
      <c r="E11" s="8">
        <f>'Monthly headcount and payroll'!E7*'Model inputs'!B50</f>
        <v>0</v>
      </c>
      <c r="F11" s="8">
        <f>'Monthly headcount and payroll'!F7*'Model inputs'!B50</f>
        <v>0</v>
      </c>
      <c r="G11" s="8">
        <f>'Monthly headcount and payroll'!G7*'Model inputs'!B50</f>
        <v>0</v>
      </c>
      <c r="H11" s="8">
        <f>'Monthly headcount and payroll'!H7*'Model inputs'!B50</f>
        <v>0</v>
      </c>
      <c r="I11" s="8">
        <f>'Monthly headcount and payroll'!I7*'Model inputs'!B50</f>
        <v>0</v>
      </c>
      <c r="J11" s="8">
        <f>'Monthly headcount and payroll'!J7*'Model inputs'!B50</f>
        <v>0</v>
      </c>
      <c r="K11" s="8">
        <f>'Monthly headcount and payroll'!K7*'Model inputs'!B50</f>
        <v>0</v>
      </c>
      <c r="L11" s="8">
        <f>'Monthly headcount and payroll'!L7*'Model inputs'!B50</f>
        <v>0</v>
      </c>
      <c r="M11" s="8">
        <f>'Monthly headcount and payroll'!M7*'Model inputs'!B50</f>
        <v>0</v>
      </c>
    </row>
    <row r="12" outlineLevel="1">
      <c r="A12" t="inlineStr" s="13">
        <is>
          <t xml:space="preserve">Planned engineer</t>
        </is>
      </c>
      <c r="B12" s="8">
        <f>'Monthly headcount and payroll'!B8*'Model inputs'!B51</f>
        <v>0</v>
      </c>
      <c r="C12" s="8">
        <f>'Monthly headcount and payroll'!C8*'Model inputs'!B51</f>
        <v>0</v>
      </c>
      <c r="D12" s="8">
        <f>'Monthly headcount and payroll'!D8*'Model inputs'!B51</f>
        <v>0</v>
      </c>
      <c r="E12" s="8">
        <f>'Monthly headcount and payroll'!E8*'Model inputs'!B51</f>
        <v>0</v>
      </c>
      <c r="F12" s="8">
        <f>'Monthly headcount and payroll'!F8*'Model inputs'!B51</f>
        <v>0</v>
      </c>
      <c r="G12" s="8">
        <f>'Monthly headcount and payroll'!G8*'Model inputs'!B51</f>
        <v>0</v>
      </c>
      <c r="H12" s="8">
        <f>'Monthly headcount and payroll'!H8*'Model inputs'!B51</f>
        <v>0</v>
      </c>
      <c r="I12" s="8">
        <f>'Monthly headcount and payroll'!I8*'Model inputs'!B51</f>
        <v>0</v>
      </c>
      <c r="J12" s="8">
        <f>'Monthly headcount and payroll'!J8*'Model inputs'!B51</f>
        <v>0</v>
      </c>
      <c r="K12" s="8">
        <f>'Monthly headcount and payroll'!K8*'Model inputs'!B51</f>
        <v>0</v>
      </c>
      <c r="L12" s="8">
        <f>'Monthly headcount and payroll'!L8*'Model inputs'!B51</f>
        <v>0</v>
      </c>
      <c r="M12" s="8">
        <f>'Monthly headcount and payroll'!M8*'Model inputs'!B51</f>
        <v>0</v>
      </c>
    </row>
  </sheetData>
  <mergeCells count="1">
    <mergeCell ref="A1:M1"/>
  </mergeCells>
</worksheet>
</file>

<file path=xl/worksheets/sheet5.xml><?xml version="1.0" encoding="utf-8"?>
<worksheet xmlns="http://schemas.openxmlformats.org/spreadsheetml/2006/main">
  <dimension ref="A1:Q216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5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2026-09</t>
        </is>
      </c>
      <c r="D5" t="inlineStr" s="9">
        <is>
          <t xml:space="preserve">2026-10</t>
        </is>
      </c>
      <c r="E5" t="inlineStr" s="4">
        <is>
          <t xml:space="preserve">2026-11</t>
        </is>
      </c>
      <c r="F5" t="inlineStr" s="4">
        <is>
          <t xml:space="preserve">2026-12</t>
        </is>
      </c>
      <c r="G5" t="inlineStr" s="9">
        <is>
          <t xml:space="preserve">2027-01</t>
        </is>
      </c>
      <c r="H5" t="inlineStr" s="4">
        <is>
          <t xml:space="preserve">2027-02</t>
        </is>
      </c>
      <c r="I5" t="inlineStr" s="4">
        <is>
          <t xml:space="preserve">2027-03</t>
        </is>
      </c>
      <c r="J5" t="inlineStr" s="9">
        <is>
          <t xml:space="preserve">2027-04</t>
        </is>
      </c>
      <c r="K5" t="inlineStr" s="4">
        <is>
          <t xml:space="preserve">2027-05</t>
        </is>
      </c>
      <c r="L5" t="inlineStr" s="4">
        <is>
          <t xml:space="preserve">2027-06</t>
        </is>
      </c>
      <c r="M5" t="inlineStr" s="9">
        <is>
          <t xml:space="preserve">2027-07</t>
        </is>
      </c>
      <c r="N5" t="inlineStr" s="4">
        <is>
          <t xml:space="preserve">2027-08</t>
        </is>
      </c>
      <c r="O5" t="inlineStr" s="4">
        <is>
          <t xml:space="preserve">2027-09</t>
        </is>
      </c>
      <c r="P5" t="inlineStr" s="9">
        <is>
          <t xml:space="preserve">2027-10</t>
        </is>
      </c>
      <c r="Q5" t="inlineStr" s="4">
        <is>
          <t xml:space="preserve">Value</t>
        </is>
      </c>
    </row>
    <row r="6">
      <c r="A6" t="inlineStr" s="16">
        <is>
          <t xml:space="preserve">Closing customer count</t>
        </is>
      </c>
      <c r="B6" s="12">
        <v>0</v>
      </c>
    </row>
    <row r="7" outlineLevel="1">
      <c r="A7" t="inlineStr" s="17">
        <is>
          <t xml:space="preserve">Closing customer count &gt; Enterprise</t>
        </is>
      </c>
      <c r="B7" s="14">
        <v>0</v>
      </c>
    </row>
    <row r="8" outlineLevel="1">
      <c r="A8" t="inlineStr" s="17">
        <is>
          <t xml:space="preserve">Closing customer count &gt; Free</t>
        </is>
      </c>
      <c r="B8" s="14">
        <f>300</f>
        <v>300</v>
      </c>
    </row>
    <row r="9" outlineLevel="1">
      <c r="A9" t="inlineStr" s="17">
        <is>
          <t xml:space="preserve">Closing customer count &gt; Team</t>
        </is>
      </c>
      <c r="B9" s="14">
        <f>40</f>
        <v>40</v>
      </c>
    </row>
    <row r="10">
      <c r="A10" t="inlineStr" s="16">
        <is>
          <t xml:space="preserve">Enterprise signings · Customers revenue and run costs</t>
        </is>
      </c>
      <c r="C10" s="14">
        <f>0</f>
        <v>0</v>
      </c>
      <c r="D10" s="14">
        <f>0</f>
        <v>0</v>
      </c>
      <c r="E10" s="14">
        <f>0</f>
        <v>0</v>
      </c>
      <c r="F10" s="14">
        <f>0</f>
        <v>0</v>
      </c>
      <c r="G10" s="14">
        <f>0</f>
        <v>0</v>
      </c>
      <c r="H10" s="14">
        <f>0</f>
        <v>0</v>
      </c>
      <c r="I10" s="14">
        <f>0</f>
        <v>0</v>
      </c>
      <c r="J10" s="14">
        <f>0</f>
        <v>0</v>
      </c>
      <c r="K10" s="14">
        <f>0</f>
        <v>0</v>
      </c>
      <c r="L10" s="14">
        <f>0</f>
        <v>0</v>
      </c>
      <c r="M10" s="14">
        <f>1</f>
        <v>1</v>
      </c>
      <c r="N10" s="14">
        <f>0</f>
        <v>0</v>
      </c>
      <c r="O10" s="14">
        <f>0</f>
        <v>0</v>
      </c>
      <c r="P10" s="14">
        <f>0</f>
        <v>0</v>
      </c>
    </row>
    <row r="11">
      <c r="A11" t="inlineStr" s="16">
        <is>
          <t xml:space="preserve">Expected monthly runs</t>
        </is>
      </c>
      <c r="B11" s="12">
        <v>0</v>
      </c>
    </row>
    <row r="12" outlineLevel="1">
      <c r="A12" t="inlineStr" s="17">
        <is>
          <t xml:space="preserve">Expected monthly runs &gt; Enterprise</t>
        </is>
      </c>
      <c r="B12" s="14">
        <f>100</f>
        <v>100</v>
      </c>
    </row>
    <row r="13" outlineLevel="1">
      <c r="A13" t="inlineStr" s="17">
        <is>
          <t xml:space="preserve">Expected monthly runs &gt; Free</t>
        </is>
      </c>
      <c r="B13" s="14">
        <f>2</f>
        <v>2</v>
      </c>
    </row>
    <row r="14" outlineLevel="1">
      <c r="A14" t="inlineStr" s="17">
        <is>
          <t xml:space="preserve">Expected monthly runs &gt; Team</t>
        </is>
      </c>
      <c r="B14" s="14">
        <f>12</f>
        <v>12</v>
      </c>
    </row>
    <row r="15">
      <c r="A15" t="inlineStr" s="16">
        <is>
          <t xml:space="preserve">Fixed monthly overhead · Monthly revenue cost and runway</t>
        </is>
      </c>
      <c r="B15" s="14">
        <f>'Model inputs'!B76+'Model inputs'!B92+'Model inputs'!B93+'Model inputs'!B75+'Model inputs'!B88</f>
        <v>89</v>
      </c>
    </row>
    <row r="16">
      <c r="A16" t="inlineStr" s="16">
        <is>
          <t xml:space="preserve">Forecast cash balance · 12-month forecast summary · Susanoo — Base</t>
        </is>
      </c>
      <c r="C16" t="e" s="8">
        <f>IF(IF(IF(IF(ISERROR('Model inputs'!C61=1),'Model inputs'!C61=1,IF('Model inputs'!C61="","",'Model inputs'!C61=1))="",FALSE,IF(ISERROR('Model inputs'!C61=1),'Model inputs'!C61=1,IF('Model inputs'!C61="","",'Model inputs'!C61=1))),IF('Model inputs'!B40="","",'Model inputs'!B40),"")="",0,IF(IF(IF(ISERROR('Model inputs'!C61=1),'Model inputs'!C61=1,IF('Model inputs'!C61="","",'Model inputs'!C61=1))="",FALSE,IF(ISERROR('Model inputs'!C61=1),'Model inputs'!C61=1,IF('Model inputs'!C61="","",'Model inputs'!C61=1))),IF('Model inputs'!B40="","",'Model inputs'!B40),""))+'Model inputs'!C70</f>
        <v>#VALUE!</v>
      </c>
      <c r="D16" t="e" s="8">
        <f>IF(IF(IF(IF(ISERROR('Model inputs'!D61=1),'Model inputs'!D61=1,IF('Model inputs'!D61="","",'Model inputs'!D61=1))="",FALSE,IF(ISERROR('Model inputs'!D61=1),'Model inputs'!D61=1,IF('Model inputs'!D61="","",'Model inputs'!D61=1))),IF('Model inputs'!B40="","",'Model inputs'!B40),IF('Model inputs'!C16="","",'Model inputs'!C16))="",0,IF(IF(IF(ISERROR('Model inputs'!D61=1),'Model inputs'!D61=1,IF('Model inputs'!D61="","",'Model inputs'!D61=1))="",FALSE,IF(ISERROR('Model inputs'!D61=1),'Model inputs'!D61=1,IF('Model inputs'!D61="","",'Model inputs'!D61=1))),IF('Model inputs'!B40="","",'Model inputs'!B40),IF('Model inputs'!C16="","",'Model inputs'!C16)))+'Model inputs'!D70</f>
        <v>#VALUE!</v>
      </c>
      <c r="E16" s="8">
        <f>IF(IF(IF(IF(ISERROR('Model inputs'!E61=1),'Model inputs'!E61=1,IF('Model inputs'!E61="","",'Model inputs'!E61=1))="",FALSE,IF(ISERROR('Model inputs'!E61=1),'Model inputs'!E61=1,IF('Model inputs'!E61="","",'Model inputs'!E61=1))),IF('Model inputs'!B40="","",'Model inputs'!B40),IF('Model inputs'!D16="","",'Model inputs'!D16))="",0,IF(IF(IF(ISERROR('Model inputs'!E61=1),'Model inputs'!E61=1,IF('Model inputs'!E61="","",'Model inputs'!E61=1))="",FALSE,IF(ISERROR('Model inputs'!E61=1),'Model inputs'!E61=1,IF('Model inputs'!E61="","",'Model inputs'!E61=1))),IF('Model inputs'!B40="","",'Model inputs'!B40),IF('Model inputs'!D16="","",'Model inputs'!D16)))+'Model inputs'!E70</f>
        <v>-45.69999999999999</v>
      </c>
      <c r="F16" s="8">
        <f>IF(IF(IF(IF(ISERROR('Model inputs'!F61=1),'Model inputs'!F61=1,IF('Model inputs'!F61="","",'Model inputs'!F61=1))="",FALSE,IF(ISERROR('Model inputs'!F61=1),'Model inputs'!F61=1,IF('Model inputs'!F61="","",'Model inputs'!F61=1))),IF('Model inputs'!B40="","",'Model inputs'!B40),IF('Model inputs'!E16="","",'Model inputs'!E16))="",0,IF(IF(IF(ISERROR('Model inputs'!F61=1),'Model inputs'!F61=1,IF('Model inputs'!F61="","",'Model inputs'!F61=1))="",FALSE,IF(ISERROR('Model inputs'!F61=1),'Model inputs'!F61=1,IF('Model inputs'!F61="","",'Model inputs'!F61=1))),IF('Model inputs'!B40="","",'Model inputs'!B40),IF('Model inputs'!E16="","",'Model inputs'!E16)))+'Model inputs'!F70</f>
        <v>39.75454545454545</v>
      </c>
      <c r="G16" s="8">
        <f>IF(IF(IF(IF(ISERROR('Model inputs'!G61=1),'Model inputs'!G61=1,IF('Model inputs'!G61="","",'Model inputs'!G61=1))="",FALSE,IF(ISERROR('Model inputs'!G61=1),'Model inputs'!G61=1,IF('Model inputs'!G61="","",'Model inputs'!G61=1))),IF('Model inputs'!B40="","",'Model inputs'!B40),IF('Model inputs'!F16="","",'Model inputs'!F16))="",0,IF(IF(IF(ISERROR('Model inputs'!G61=1),'Model inputs'!G61=1,IF('Model inputs'!G61="","",'Model inputs'!G61=1))="",FALSE,IF(ISERROR('Model inputs'!G61=1),'Model inputs'!G61=1,IF('Model inputs'!G61="","",'Model inputs'!G61=1))),IF('Model inputs'!B40="","",'Model inputs'!B40),IF('Model inputs'!F16="","",'Model inputs'!F16)))+'Model inputs'!G70</f>
        <v>256.3636363636364</v>
      </c>
      <c r="H16" s="8">
        <f>IF(IF(IF(IF(ISERROR('Model inputs'!H61=1),'Model inputs'!H61=1,IF('Model inputs'!H61="","",'Model inputs'!H61=1))="",FALSE,IF(ISERROR('Model inputs'!H61=1),'Model inputs'!H61=1,IF('Model inputs'!H61="","",'Model inputs'!H61=1))),IF('Model inputs'!B40="","",'Model inputs'!B40),IF('Model inputs'!G16="","",'Model inputs'!G16))="",0,IF(IF(IF(ISERROR('Model inputs'!H61=1),'Model inputs'!H61=1,IF('Model inputs'!H61="","",'Model inputs'!H61=1))="",FALSE,IF(ISERROR('Model inputs'!H61=1),'Model inputs'!H61=1,IF('Model inputs'!H61="","",'Model inputs'!H61=1))),IF('Model inputs'!B40="","",'Model inputs'!B40),IF('Model inputs'!G16="","",'Model inputs'!G16)))+'Model inputs'!H70</f>
        <v>604.1272727272727</v>
      </c>
      <c r="I16" s="8">
        <f>IF(IF(IF(IF(ISERROR('Model inputs'!I61=1),'Model inputs'!I61=1,IF('Model inputs'!I61="","",'Model inputs'!I61=1))="",FALSE,IF(ISERROR('Model inputs'!I61=1),'Model inputs'!I61=1,IF('Model inputs'!I61="","",'Model inputs'!I61=1))),IF('Model inputs'!B40="","",'Model inputs'!B40),IF('Model inputs'!H16="","",'Model inputs'!H16))="",0,IF(IF(IF(ISERROR('Model inputs'!I61=1),'Model inputs'!I61=1,IF('Model inputs'!I61="","",'Model inputs'!I61=1))="",FALSE,IF(ISERROR('Model inputs'!I61=1),'Model inputs'!I61=1,IF('Model inputs'!I61="","",'Model inputs'!I61=1))),IF('Model inputs'!B40="","",'Model inputs'!B40),IF('Model inputs'!H16="","",'Model inputs'!H16)))+'Model inputs'!I70</f>
        <v>1083.0454545454545</v>
      </c>
      <c r="J16" s="8">
        <f>IF(IF(IF(IF(ISERROR('Model inputs'!J61=1),'Model inputs'!J61=1,IF('Model inputs'!J61="","",'Model inputs'!J61=1))="",FALSE,IF(ISERROR('Model inputs'!J61=1),'Model inputs'!J61=1,IF('Model inputs'!J61="","",'Model inputs'!J61=1))),IF('Model inputs'!B40="","",'Model inputs'!B40),IF('Model inputs'!I16="","",'Model inputs'!I16))="",0,IF(IF(IF(ISERROR('Model inputs'!J61=1),'Model inputs'!J61=1,IF('Model inputs'!J61="","",'Model inputs'!J61=1))="",FALSE,IF(ISERROR('Model inputs'!J61=1),'Model inputs'!J61=1,IF('Model inputs'!J61="","",'Model inputs'!J61=1))),IF('Model inputs'!B40="","",'Model inputs'!B40),IF('Model inputs'!I16="","",'Model inputs'!I16)))+'Model inputs'!J70</f>
        <v>1693.1181818181817</v>
      </c>
      <c r="K16" s="8">
        <f>IF(IF(IF(IF(ISERROR('Model inputs'!K61=1),'Model inputs'!K61=1,IF('Model inputs'!K61="","",'Model inputs'!K61=1))="",FALSE,IF(ISERROR('Model inputs'!K61=1),'Model inputs'!K61=1,IF('Model inputs'!K61="","",'Model inputs'!K61=1))),IF('Model inputs'!B40="","",'Model inputs'!B40),IF('Model inputs'!J16="","",'Model inputs'!J16))="",0,IF(IF(IF(ISERROR('Model inputs'!K61=1),'Model inputs'!K61=1,IF('Model inputs'!K61="","",'Model inputs'!K61=1))="",FALSE,IF(ISERROR('Model inputs'!K61=1),'Model inputs'!K61=1,IF('Model inputs'!K61="","",'Model inputs'!K61=1))),IF('Model inputs'!B40="","",'Model inputs'!B40),IF('Model inputs'!J16="","",'Model inputs'!J16)))+'Model inputs'!K70</f>
        <v>2434.3454545454542</v>
      </c>
      <c r="L16" s="8">
        <f>IF(IF(IF(IF(ISERROR('Model inputs'!L61=1),'Model inputs'!L61=1,IF('Model inputs'!L61="","",'Model inputs'!L61=1))="",FALSE,IF(ISERROR('Model inputs'!L61=1),'Model inputs'!L61=1,IF('Model inputs'!L61="","",'Model inputs'!L61=1))),IF('Model inputs'!B40="","",'Model inputs'!B40),IF('Model inputs'!K16="","",'Model inputs'!K16))="",0,IF(IF(IF(ISERROR('Model inputs'!L61=1),'Model inputs'!L61=1,IF('Model inputs'!L61="","",'Model inputs'!L61=1))="",FALSE,IF(ISERROR('Model inputs'!L61=1),'Model inputs'!L61=1,IF('Model inputs'!L61="","",'Model inputs'!L61=1))),IF('Model inputs'!B40="","",'Model inputs'!B40),IF('Model inputs'!K16="","",'Model inputs'!K16)))+'Model inputs'!L70</f>
        <v>3306.7272727272725</v>
      </c>
      <c r="M16" s="8">
        <f>IF(IF(IF(IF(ISERROR('Model inputs'!M61=1),'Model inputs'!M61=1,IF('Model inputs'!M61="","",'Model inputs'!M61=1))="",FALSE,IF(ISERROR('Model inputs'!M61=1),'Model inputs'!M61=1,IF('Model inputs'!M61="","",'Model inputs'!M61=1))),IF('Model inputs'!B40="","",'Model inputs'!B40),IF('Model inputs'!L16="","",'Model inputs'!L16))="",0,IF(IF(IF(ISERROR('Model inputs'!M61=1),'Model inputs'!M61=1,IF('Model inputs'!M61="","",'Model inputs'!M61=1))="",FALSE,IF(ISERROR('Model inputs'!M61=1),'Model inputs'!M61=1,IF('Model inputs'!M61="","",'Model inputs'!M61=1))),IF('Model inputs'!B40="","",'Model inputs'!B40),IF('Model inputs'!L16="","",'Model inputs'!L16)))+'Model inputs'!M70</f>
        <v>5655.263636363636</v>
      </c>
      <c r="N16" s="8">
        <f>IF(IF(IF(IF(ISERROR('Model inputs'!N61=1),'Model inputs'!N61=1,IF('Model inputs'!N61="","",'Model inputs'!N61=1))="",FALSE,IF(ISERROR('Model inputs'!N61=1),'Model inputs'!N61=1,IF('Model inputs'!N61="","",'Model inputs'!N61=1))),IF('Model inputs'!B40="","",'Model inputs'!B40),IF('Model inputs'!M16="","",'Model inputs'!M16))="",0,IF(IF(IF(ISERROR('Model inputs'!N61=1),'Model inputs'!N61=1,IF('Model inputs'!N61="","",'Model inputs'!N61=1))="",FALSE,IF(ISERROR('Model inputs'!N61=1),'Model inputs'!N61=1,IF('Model inputs'!N61="","",'Model inputs'!N61=1))),IF('Model inputs'!B40="","",'Model inputs'!B40),IF('Model inputs'!M16="","",'Model inputs'!M16)))+'Model inputs'!N70</f>
        <v>8134.954545454544</v>
      </c>
      <c r="O16" s="8">
        <f>IF(IF(IF(IF(ISERROR('Model inputs'!O61=1),'Model inputs'!O61=1,IF('Model inputs'!O61="","",'Model inputs'!O61=1))="",FALSE,IF(ISERROR('Model inputs'!O61=1),'Model inputs'!O61=1,IF('Model inputs'!O61="","",'Model inputs'!O61=1))),IF('Model inputs'!B40="","",'Model inputs'!B40),IF('Model inputs'!N16="","",'Model inputs'!N16))="",0,IF(IF(IF(ISERROR('Model inputs'!O61=1),'Model inputs'!O61=1,IF('Model inputs'!O61="","",'Model inputs'!O61=1))="",FALSE,IF(ISERROR('Model inputs'!O61=1),'Model inputs'!O61=1,IF('Model inputs'!O61="","",'Model inputs'!O61=1))),IF('Model inputs'!B40="","",'Model inputs'!B40),IF('Model inputs'!N16="","",'Model inputs'!N16)))+'Model inputs'!O70</f>
        <v>10745.8</v>
      </c>
      <c r="P16" s="8">
        <f>IF(IF(IF(IF(ISERROR('Model inputs'!P61=1),'Model inputs'!P61=1,IF('Model inputs'!P61="","",'Model inputs'!P61=1))="",FALSE,IF(ISERROR('Model inputs'!P61=1),'Model inputs'!P61=1,IF('Model inputs'!P61="","",'Model inputs'!P61=1))),IF('Model inputs'!B40="","",'Model inputs'!B40),IF('Model inputs'!O16="","",'Model inputs'!O16))="",0,IF(IF(IF(ISERROR('Model inputs'!P61=1),'Model inputs'!P61=1,IF('Model inputs'!P61="","",'Model inputs'!P61=1))="",FALSE,IF(ISERROR('Model inputs'!P61=1),'Model inputs'!P61=1,IF('Model inputs'!P61="","",'Model inputs'!P61=1))),IF('Model inputs'!B40="","",'Model inputs'!B40),IF('Model inputs'!O16="","",'Model inputs'!O16)))+'Model inputs'!P70</f>
        <v>13487.8</v>
      </c>
    </row>
    <row r="17">
      <c r="A17" t="inlineStr" s="16">
        <is>
          <t xml:space="preserve">Forecast cash balance · Susanoo — Growth</t>
        </is>
      </c>
      <c r="D17" t="e" s="8">
        <f>IF(IF(IF(IF(ISERROR('Model inputs'!D79=1),'Model inputs'!D79=1,IF('Model inputs'!D79="","",'Model inputs'!D79=1))="",FALSE,IF(ISERROR('Model inputs'!D79=1),'Model inputs'!D79=1,IF('Model inputs'!D79="","",'Model inputs'!D79=1))),IF('Model inputs'!B91="","",'Model inputs'!B91),IF('Model inputs'!C77="","",'Model inputs'!C77))="",0,IF(IF(IF(ISERROR('Model inputs'!D79=1),'Model inputs'!D79=1,IF('Model inputs'!D79="","",'Model inputs'!D79=1))="",FALSE,IF(ISERROR('Model inputs'!D79=1),'Model inputs'!D79=1,IF('Model inputs'!D79="","",'Model inputs'!D79=1))),IF('Model inputs'!B91="","",'Model inputs'!B91),IF('Model inputs'!C77="","",'Model inputs'!C77)))+'Model inputs'!D89</f>
        <v>#VALUE!</v>
      </c>
      <c r="E17" s="8">
        <f>IF(IF(IF(IF(ISERROR('Model inputs'!E79=1),'Model inputs'!E79=1,IF('Model inputs'!E79="","",'Model inputs'!E79=1))="",FALSE,IF(ISERROR('Model inputs'!E79=1),'Model inputs'!E79=1,IF('Model inputs'!E79="","",'Model inputs'!E79=1))),IF('Model inputs'!B91="","",'Model inputs'!B91),IF('Model inputs'!D17="","",'Model inputs'!D17))="",0,IF(IF(IF(ISERROR('Model inputs'!E79=1),'Model inputs'!E79=1,IF('Model inputs'!E79="","",'Model inputs'!E79=1))="",FALSE,IF(ISERROR('Model inputs'!E79=1),'Model inputs'!E79=1,IF('Model inputs'!E79="","",'Model inputs'!E79=1))),IF('Model inputs'!B91="","",'Model inputs'!B91),IF('Model inputs'!D17="","",'Model inputs'!D17)))+'Model inputs'!E89</f>
        <v>-120.25</v>
      </c>
      <c r="F17" s="8">
        <f>IF(IF(IF(IF(ISERROR('Model inputs'!F79=1),'Model inputs'!F79=1,IF('Model inputs'!F79="","",'Model inputs'!F79=1))="",FALSE,IF(ISERROR('Model inputs'!F79=1),'Model inputs'!F79=1,IF('Model inputs'!F79="","",'Model inputs'!F79=1))),IF('Model inputs'!B91="","",'Model inputs'!B91),IF('Model inputs'!E17="","",'Model inputs'!E17))="",0,IF(IF(IF(ISERROR('Model inputs'!F79=1),'Model inputs'!F79=1,IF('Model inputs'!F79="","",'Model inputs'!F79=1))="",FALSE,IF(ISERROR('Model inputs'!F79=1),'Model inputs'!F79=1,IF('Model inputs'!F79="","",'Model inputs'!F79=1))),IF('Model inputs'!B91="","",'Model inputs'!B91),IF('Model inputs'!E17="","",'Model inputs'!E17)))+'Model inputs'!F89</f>
        <v>99.84090909090901</v>
      </c>
      <c r="G17" s="8">
        <f>IF(IF(IF(IF(ISERROR('Model inputs'!G79=1),'Model inputs'!G79=1,IF('Model inputs'!G79="","",'Model inputs'!G79=1))="",FALSE,IF(ISERROR('Model inputs'!G79=1),'Model inputs'!G79=1,IF('Model inputs'!G79="","",'Model inputs'!G79=1))),IF('Model inputs'!B91="","",'Model inputs'!B91),IF('Model inputs'!F17="","",'Model inputs'!F17))="",0,IF(IF(IF(ISERROR('Model inputs'!G79=1),'Model inputs'!G79=1,IF('Model inputs'!G79="","",'Model inputs'!G79=1))="",FALSE,IF(ISERROR('Model inputs'!G79=1),'Model inputs'!G79=1,IF('Model inputs'!G79="","",'Model inputs'!G79=1))),IF('Model inputs'!B91="","",'Model inputs'!B91),IF('Model inputs'!F17="","",'Model inputs'!F17)))+'Model inputs'!G89</f>
        <v>660.272727272727</v>
      </c>
      <c r="H17" s="8">
        <f>IF(IF(IF(IF(ISERROR('Model inputs'!H79=1),'Model inputs'!H79=1,IF('Model inputs'!H79="","",'Model inputs'!H79=1))="",FALSE,IF(ISERROR('Model inputs'!H79=1),'Model inputs'!H79=1,IF('Model inputs'!H79="","",'Model inputs'!H79=1))),IF('Model inputs'!B91="","",'Model inputs'!B91),IF('Model inputs'!G17="","",'Model inputs'!G17))="",0,IF(IF(IF(ISERROR('Model inputs'!H79=1),'Model inputs'!H79=1,IF('Model inputs'!H79="","",'Model inputs'!H79=1))="",FALSE,IF(ISERROR('Model inputs'!H79=1),'Model inputs'!H79=1,IF('Model inputs'!H79="","",'Model inputs'!H79=1))),IF('Model inputs'!B91="","",'Model inputs'!B91),IF('Model inputs'!G17="","",'Model inputs'!G17)))+'Model inputs'!H89</f>
        <v>1561.045454545454</v>
      </c>
      <c r="I17" s="8">
        <f>IF(IF(IF(IF(ISERROR('Model inputs'!I79=1),'Model inputs'!I79=1,IF('Model inputs'!I79="","",'Model inputs'!I79=1))="",FALSE,IF(ISERROR('Model inputs'!I79=1),'Model inputs'!I79=1,IF('Model inputs'!I79="","",'Model inputs'!I79=1))),IF('Model inputs'!B91="","",'Model inputs'!B91),IF('Model inputs'!H17="","",'Model inputs'!H17))="",0,IF(IF(IF(ISERROR('Model inputs'!I79=1),'Model inputs'!I79=1,IF('Model inputs'!I79="","",'Model inputs'!I79=1))="",FALSE,IF(ISERROR('Model inputs'!I79=1),'Model inputs'!I79=1,IF('Model inputs'!I79="","",'Model inputs'!I79=1))),IF('Model inputs'!B91="","",'Model inputs'!B91),IF('Model inputs'!H17="","",'Model inputs'!H17)))+'Model inputs'!I89</f>
        <v>2802.15909090909</v>
      </c>
      <c r="J17" s="8">
        <f>IF(IF(IF(IF(ISERROR('Model inputs'!J79=1),'Model inputs'!J79=1,IF('Model inputs'!J79="","",'Model inputs'!J79=1))="",FALSE,IF(ISERROR('Model inputs'!J79=1),'Model inputs'!J79=1,IF('Model inputs'!J79="","",'Model inputs'!J79=1))),IF('Model inputs'!B91="","",'Model inputs'!B91),IF('Model inputs'!I17="","",'Model inputs'!I17))="",0,IF(IF(IF(ISERROR('Model inputs'!J79=1),'Model inputs'!J79=1,IF('Model inputs'!J79="","",'Model inputs'!J79=1))="",FALSE,IF(ISERROR('Model inputs'!J79=1),'Model inputs'!J79=1,IF('Model inputs'!J79="","",'Model inputs'!J79=1))),IF('Model inputs'!B91="","",'Model inputs'!B91),IF('Model inputs'!I17="","",'Model inputs'!I17)))+'Model inputs'!J89</f>
        <v>-271.38636363636397</v>
      </c>
      <c r="K17" s="8">
        <f>IF(IF(IF(IF(ISERROR('Model inputs'!K79=1),'Model inputs'!K79=1,IF('Model inputs'!K79="","",'Model inputs'!K79=1))="",FALSE,IF(ISERROR('Model inputs'!K79=1),'Model inputs'!K79=1,IF('Model inputs'!K79="","",'Model inputs'!K79=1))),IF('Model inputs'!B91="","",'Model inputs'!B91),IF('Model inputs'!J17="","",'Model inputs'!J17))="",0,IF(IF(IF(ISERROR('Model inputs'!K79=1),'Model inputs'!K79=1,IF('Model inputs'!K79="","",'Model inputs'!K79=1))="",FALSE,IF(ISERROR('Model inputs'!K79=1),'Model inputs'!K79=1,IF('Model inputs'!K79="","",'Model inputs'!K79=1))),IF('Model inputs'!B91="","",'Model inputs'!B91),IF('Model inputs'!J17="","",'Model inputs'!J17)))+'Model inputs'!K89</f>
        <v>-3004.59090909091</v>
      </c>
      <c r="L17" s="8">
        <f>IF(IF(IF(IF(ISERROR('Model inputs'!L79=1),'Model inputs'!L79=1,IF('Model inputs'!L79="","",'Model inputs'!L79=1))="",FALSE,IF(ISERROR('Model inputs'!L79=1),'Model inputs'!L79=1,IF('Model inputs'!L79="","",'Model inputs'!L79=1))),IF('Model inputs'!B91="","",'Model inputs'!B91),IF('Model inputs'!K17="","",'Model inputs'!K17))="",0,IF(IF(IF(ISERROR('Model inputs'!L79=1),'Model inputs'!L79=1,IF('Model inputs'!L79="","",'Model inputs'!L79=1))="",FALSE,IF(ISERROR('Model inputs'!L79=1),'Model inputs'!L79=1,IF('Model inputs'!L79="","",'Model inputs'!L79=1))),IF('Model inputs'!B91="","",'Model inputs'!B91),IF('Model inputs'!K17="","",'Model inputs'!K17)))+'Model inputs'!L89</f>
        <v>-4052.4545454545478</v>
      </c>
      <c r="M17" s="8">
        <f>IF(IF(IF(IF(ISERROR('Model inputs'!M79=1),'Model inputs'!M79=1,IF('Model inputs'!M79="","",'Model inputs'!M79=1))="",FALSE,IF(ISERROR('Model inputs'!M79=1),'Model inputs'!M79=1,IF('Model inputs'!M79="","",'Model inputs'!M79=1))),IF('Model inputs'!B91="","",'Model inputs'!B91),IF('Model inputs'!L17="","",'Model inputs'!L17))="",0,IF(IF(IF(ISERROR('Model inputs'!M79=1),'Model inputs'!M79=1,IF('Model inputs'!M79="","",'Model inputs'!M79=1))="",FALSE,IF(ISERROR('Model inputs'!M79=1),'Model inputs'!M79=1,IF('Model inputs'!M79="","",'Model inputs'!M79=1))),IF('Model inputs'!B91="","",'Model inputs'!B91),IF('Model inputs'!L17="","",'Model inputs'!L17)))+'Model inputs'!M89</f>
        <v>-4759.977272727276</v>
      </c>
      <c r="N17" s="8">
        <f>IF(IF(IF(IF(ISERROR('Model inputs'!N79=1),'Model inputs'!N79=1,IF('Model inputs'!N79="","",'Model inputs'!N79=1))="",FALSE,IF(ISERROR('Model inputs'!N79=1),'Model inputs'!N79=1,IF('Model inputs'!N79="","",'Model inputs'!N79=1))),IF('Model inputs'!B91="","",'Model inputs'!B91),IF('Model inputs'!M17="","",'Model inputs'!M17))="",0,IF(IF(IF(ISERROR('Model inputs'!N79=1),'Model inputs'!N79=1,IF('Model inputs'!N79="","",'Model inputs'!N79=1))="",FALSE,IF(ISERROR('Model inputs'!N79=1),'Model inputs'!N79=1,IF('Model inputs'!N79="","",'Model inputs'!N79=1))),IF('Model inputs'!B91="","",'Model inputs'!B91),IF('Model inputs'!M17="","",'Model inputs'!M17)))+'Model inputs'!N89</f>
        <v>-3782.1590909090937</v>
      </c>
      <c r="O17" s="8">
        <f>IF(IF(IF(IF(ISERROR('Model inputs'!O79=1),'Model inputs'!O79=1,IF('Model inputs'!O79="","",'Model inputs'!O79=1))="",FALSE,IF(ISERROR('Model inputs'!O79=1),'Model inputs'!O79=1,IF('Model inputs'!O79="","",'Model inputs'!O79=1))),IF('Model inputs'!B91="","",'Model inputs'!B91),IF('Model inputs'!N17="","",'Model inputs'!N17))="",0,IF(IF(IF(ISERROR('Model inputs'!O79=1),'Model inputs'!O79=1,IF('Model inputs'!O79="","",'Model inputs'!O79=1))="",FALSE,IF(ISERROR('Model inputs'!O79=1),'Model inputs'!O79=1,IF('Model inputs'!O79="","",'Model inputs'!O79=1))),IF('Model inputs'!B91="","",'Model inputs'!B91),IF('Model inputs'!N17="","",'Model inputs'!N17)))+'Model inputs'!O89</f>
        <v>-2464.000000000002</v>
      </c>
      <c r="P17" s="8">
        <f>IF(IF(IF(IF(ISERROR('Model inputs'!P79=1),'Model inputs'!P79=1,IF('Model inputs'!P79="","",'Model inputs'!P79=1))="",FALSE,IF(ISERROR('Model inputs'!P79=1),'Model inputs'!P79=1,IF('Model inputs'!P79="","",'Model inputs'!P79=1))),IF('Model inputs'!B91="","",'Model inputs'!B91),IF('Model inputs'!O17="","",'Model inputs'!O17))="",0,IF(IF(IF(ISERROR('Model inputs'!P79=1),'Model inputs'!P79=1,IF('Model inputs'!P79="","",'Model inputs'!P79=1))="",FALSE,IF(ISERROR('Model inputs'!P79=1),'Model inputs'!P79=1,IF('Model inputs'!P79="","",'Model inputs'!P79=1))),IF('Model inputs'!B91="","",'Model inputs'!B91),IF('Model inputs'!O17="","",'Model inputs'!O17)))+'Model inputs'!P89</f>
        <v>539.4999999999982</v>
      </c>
    </row>
    <row r="18">
      <c r="A18" t="inlineStr" s="16">
        <is>
          <t xml:space="preserve">Forecast length · 12-month forecast summary · Susanoo — Base</t>
        </is>
      </c>
      <c r="Q18" s="14">
        <f>12</f>
        <v>12</v>
      </c>
    </row>
    <row r="19">
      <c r="A19" t="inlineStr" s="16">
        <is>
          <t xml:space="preserve">Forecast length · Customers revenue and run costs · Susanoo — Base</t>
        </is>
      </c>
      <c r="B19" s="14">
        <f>12</f>
        <v>12</v>
      </c>
    </row>
    <row r="20">
      <c r="A20" t="inlineStr" s="16">
        <is>
          <t xml:space="preserve">Forecast length · Susanoo — Growth</t>
        </is>
      </c>
      <c r="Q20" s="14">
        <f>12</f>
        <v>12</v>
      </c>
    </row>
    <row r="21">
      <c r="A21" t="inlineStr" s="16">
        <is>
          <t xml:space="preserve">Forecast start date · 12-month forecast summary · Susanoo — Base</t>
        </is>
      </c>
      <c r="Q21" s="18">
        <f>DATE(2026,11,1)</f>
        <v>46327</v>
      </c>
    </row>
    <row r="22">
      <c r="A22" t="inlineStr" s="16">
        <is>
          <t xml:space="preserve">Forecast start date · Customers revenue and run costs · Susanoo — Base</t>
        </is>
      </c>
      <c r="B22" s="18">
        <f>DATE(2026,11,1)</f>
        <v>46327</v>
      </c>
    </row>
    <row r="23">
      <c r="A23" t="inlineStr" s="16">
        <is>
          <t xml:space="preserve">Forecast start date · Susanoo — Growth</t>
        </is>
      </c>
      <c r="Q23" s="18">
        <f>DATE(2026,11,1)</f>
        <v>46327</v>
      </c>
    </row>
    <row r="24">
      <c r="A24" t="inlineStr" s="16">
        <is>
          <t xml:space="preserve">Forecast subscription revenue · by  · 12-month forecast summary · Susanoo — Base</t>
        </is>
      </c>
      <c r="C24" t="e" s="8">
        <f>SUM('Model inputs'!C26,'Model inputs'!C27,'Model inputs'!C28)</f>
        <v>#VALUE!</v>
      </c>
      <c r="D24" t="e" s="8">
        <f>SUM('Model inputs'!D26,'Model inputs'!D27,'Model inputs'!D28)</f>
        <v>#VALUE!</v>
      </c>
      <c r="E24" s="8">
        <f>SUM('Model inputs'!E26,'Model inputs'!E27,'Model inputs'!E28)</f>
        <v>158</v>
      </c>
      <c r="F24" s="8">
        <f>SUM('Model inputs'!F26,'Model inputs'!F27,'Model inputs'!F28)</f>
        <v>430.90909090909093</v>
      </c>
      <c r="G24" s="8">
        <f>SUM('Model inputs'!G26,'Model inputs'!G27,'Model inputs'!G28)</f>
        <v>703.8181818181819</v>
      </c>
      <c r="H24" s="8">
        <f>SUM('Model inputs'!H26,'Model inputs'!H27,'Model inputs'!H28)</f>
        <v>976.7272727272727</v>
      </c>
      <c r="I24" s="8">
        <f>SUM('Model inputs'!I26,'Model inputs'!I27,'Model inputs'!I28)</f>
        <v>1249.6363636363637</v>
      </c>
      <c r="J24" s="8">
        <f>SUM('Model inputs'!J26,'Model inputs'!J27,'Model inputs'!J28)</f>
        <v>1522.5454545454545</v>
      </c>
      <c r="K24" s="8">
        <f>SUM('Model inputs'!K26,'Model inputs'!K27,'Model inputs'!K28)</f>
        <v>1795.4545454545455</v>
      </c>
      <c r="L24" s="8">
        <f>SUM('Model inputs'!L26,'Model inputs'!L27,'Model inputs'!L28)</f>
        <v>2068.3636363636365</v>
      </c>
      <c r="M24" s="8">
        <f>SUM('Model inputs'!M26,'Model inputs'!M27,'Model inputs'!M28)</f>
        <v>3841.2727272727275</v>
      </c>
      <c r="N24" s="8">
        <f>SUM('Model inputs'!N26,'Model inputs'!N27,'Model inputs'!N28)</f>
        <v>4114.181818181818</v>
      </c>
      <c r="O24" s="8">
        <f>SUM('Model inputs'!O26,'Model inputs'!O27,'Model inputs'!O28)</f>
        <v>4387.090909090909</v>
      </c>
      <c r="P24" s="8">
        <f>SUM('Model inputs'!P26,'Model inputs'!P27,'Model inputs'!P28)</f>
        <v>4660</v>
      </c>
    </row>
    <row r="25">
      <c r="A25" t="inlineStr" s="16">
        <is>
          <t xml:space="preserve">Forecast subscription revenue</t>
        </is>
      </c>
      <c r="C25" t="e" s="6">
        <f>IF('Model inputs'!C24="","",'Model inputs'!C24)</f>
        <v>#VALUE!</v>
      </c>
      <c r="D25" t="e" s="6">
        <f>IF('Model inputs'!D24="","",'Model inputs'!D24)</f>
        <v>#VALUE!</v>
      </c>
      <c r="E25" s="6">
        <f>IF('Model inputs'!E24="","",'Model inputs'!E24)</f>
        <v>158</v>
      </c>
      <c r="F25" s="6">
        <f>IF('Model inputs'!F24="","",'Model inputs'!F24)</f>
        <v>430.90909090909093</v>
      </c>
      <c r="G25" s="6">
        <f>IF('Model inputs'!G24="","",'Model inputs'!G24)</f>
        <v>703.8181818181819</v>
      </c>
      <c r="H25" s="6">
        <f>IF('Model inputs'!H24="","",'Model inputs'!H24)</f>
        <v>976.7272727272727</v>
      </c>
      <c r="I25" s="6">
        <f>IF('Model inputs'!I24="","",'Model inputs'!I24)</f>
        <v>1249.6363636363637</v>
      </c>
      <c r="J25" s="6">
        <f>IF('Model inputs'!J24="","",'Model inputs'!J24)</f>
        <v>1522.5454545454545</v>
      </c>
      <c r="K25" s="6">
        <f>IF('Model inputs'!K24="","",'Model inputs'!K24)</f>
        <v>1795.4545454545455</v>
      </c>
      <c r="L25" s="6">
        <f>IF('Model inputs'!L24="","",'Model inputs'!L24)</f>
        <v>2068.3636363636365</v>
      </c>
      <c r="M25" s="6">
        <f>IF('Model inputs'!M24="","",'Model inputs'!M24)</f>
        <v>3841.2727272727275</v>
      </c>
      <c r="N25" s="6">
        <f>IF('Model inputs'!N24="","",'Model inputs'!N24)</f>
        <v>4114.181818181818</v>
      </c>
      <c r="O25" s="6">
        <f>IF('Model inputs'!O24="","",'Model inputs'!O24)</f>
        <v>4387.090909090909</v>
      </c>
      <c r="P25" s="6">
        <f>IF('Model inputs'!P24="","",'Model inputs'!P24)</f>
        <v>4660</v>
      </c>
    </row>
    <row r="26" outlineLevel="1">
      <c r="A26" t="inlineStr" s="17">
        <is>
          <t xml:space="preserve">Forecast subscription revenue &gt; Enterprise</t>
        </is>
      </c>
      <c r="C26" t="e" s="8">
        <f>'Model inputs'!C57*'Model inputs'!B33</f>
        <v>#VALUE!</v>
      </c>
      <c r="D26" t="e" s="8">
        <f>'Model inputs'!D57*'Model inputs'!B33</f>
        <v>#VALUE!</v>
      </c>
      <c r="E26" s="8">
        <f>'Model inputs'!E57*'Model inputs'!B33</f>
        <v>0</v>
      </c>
      <c r="F26" s="8">
        <f>'Model inputs'!F57*'Model inputs'!B33</f>
        <v>0</v>
      </c>
      <c r="G26" s="8">
        <f>'Model inputs'!G57*'Model inputs'!B33</f>
        <v>0</v>
      </c>
      <c r="H26" s="8">
        <f>'Model inputs'!H57*'Model inputs'!B33</f>
        <v>0</v>
      </c>
      <c r="I26" s="8">
        <f>'Model inputs'!I57*'Model inputs'!B33</f>
        <v>0</v>
      </c>
      <c r="J26" s="8">
        <f>'Model inputs'!J57*'Model inputs'!B33</f>
        <v>0</v>
      </c>
      <c r="K26" s="8">
        <f>'Model inputs'!K57*'Model inputs'!B33</f>
        <v>0</v>
      </c>
      <c r="L26" s="8">
        <f>'Model inputs'!L57*'Model inputs'!B33</f>
        <v>0</v>
      </c>
      <c r="M26" s="8">
        <f>'Model inputs'!M57*'Model inputs'!B33</f>
        <v>1500</v>
      </c>
      <c r="N26" s="8">
        <f>'Model inputs'!N57*'Model inputs'!B33</f>
        <v>1500</v>
      </c>
      <c r="O26" s="8">
        <f>'Model inputs'!O57*'Model inputs'!B33</f>
        <v>1500</v>
      </c>
      <c r="P26" s="8">
        <f>'Model inputs'!P57*'Model inputs'!B33</f>
        <v>1500</v>
      </c>
    </row>
    <row r="27" outlineLevel="1">
      <c r="A27" t="inlineStr" s="17">
        <is>
          <t xml:space="preserve">Forecast subscription revenue &gt; Free</t>
        </is>
      </c>
      <c r="C27" t="e" s="8">
        <f>'Model inputs'!C58*'Model inputs'!B34</f>
        <v>#VALUE!</v>
      </c>
      <c r="D27" t="e" s="8">
        <f>'Model inputs'!D58*'Model inputs'!B34</f>
        <v>#VALUE!</v>
      </c>
      <c r="E27" s="8">
        <f>'Model inputs'!E58*'Model inputs'!B34</f>
        <v>0</v>
      </c>
      <c r="F27" s="8">
        <f>'Model inputs'!F58*'Model inputs'!B34</f>
        <v>0</v>
      </c>
      <c r="G27" s="8">
        <f>'Model inputs'!G58*'Model inputs'!B34</f>
        <v>0</v>
      </c>
      <c r="H27" s="8">
        <f>'Model inputs'!H58*'Model inputs'!B34</f>
        <v>0</v>
      </c>
      <c r="I27" s="8">
        <f>'Model inputs'!I58*'Model inputs'!B34</f>
        <v>0</v>
      </c>
      <c r="J27" s="8">
        <f>'Model inputs'!J58*'Model inputs'!B34</f>
        <v>0</v>
      </c>
      <c r="K27" s="8">
        <f>'Model inputs'!K58*'Model inputs'!B34</f>
        <v>0</v>
      </c>
      <c r="L27" s="8">
        <f>'Model inputs'!L58*'Model inputs'!B34</f>
        <v>0</v>
      </c>
      <c r="M27" s="8">
        <f>'Model inputs'!M58*'Model inputs'!B34</f>
        <v>0</v>
      </c>
      <c r="N27" s="8">
        <f>'Model inputs'!N58*'Model inputs'!B34</f>
        <v>0</v>
      </c>
      <c r="O27" s="8">
        <f>'Model inputs'!O58*'Model inputs'!B34</f>
        <v>0</v>
      </c>
      <c r="P27" s="8">
        <f>'Model inputs'!P58*'Model inputs'!B34</f>
        <v>0</v>
      </c>
    </row>
    <row r="28" outlineLevel="1">
      <c r="A28" t="inlineStr" s="17">
        <is>
          <t xml:space="preserve">Forecast subscription revenue &gt; Team</t>
        </is>
      </c>
      <c r="C28" t="e" s="8">
        <f>'Model inputs'!C59*'Model inputs'!B35</f>
        <v>#VALUE!</v>
      </c>
      <c r="D28" t="e" s="8">
        <f>'Model inputs'!D59*'Model inputs'!B35</f>
        <v>#VALUE!</v>
      </c>
      <c r="E28" s="8">
        <f>'Model inputs'!E59*'Model inputs'!B35</f>
        <v>158</v>
      </c>
      <c r="F28" s="8">
        <f>'Model inputs'!F59*'Model inputs'!B35</f>
        <v>430.90909090909093</v>
      </c>
      <c r="G28" s="8">
        <f>'Model inputs'!G59*'Model inputs'!B35</f>
        <v>703.8181818181819</v>
      </c>
      <c r="H28" s="8">
        <f>'Model inputs'!H59*'Model inputs'!B35</f>
        <v>976.7272727272727</v>
      </c>
      <c r="I28" s="8">
        <f>'Model inputs'!I59*'Model inputs'!B35</f>
        <v>1249.6363636363637</v>
      </c>
      <c r="J28" s="8">
        <f>'Model inputs'!J59*'Model inputs'!B35</f>
        <v>1522.5454545454545</v>
      </c>
      <c r="K28" s="8">
        <f>'Model inputs'!K59*'Model inputs'!B35</f>
        <v>1795.4545454545455</v>
      </c>
      <c r="L28" s="8">
        <f>'Model inputs'!L59*'Model inputs'!B35</f>
        <v>2068.3636363636365</v>
      </c>
      <c r="M28" s="8">
        <f>'Model inputs'!M59*'Model inputs'!B35</f>
        <v>2341.2727272727275</v>
      </c>
      <c r="N28" s="8">
        <f>'Model inputs'!N59*'Model inputs'!B35</f>
        <v>2614.1818181818185</v>
      </c>
      <c r="O28" s="8">
        <f>'Model inputs'!O59*'Model inputs'!B35</f>
        <v>2887.090909090909</v>
      </c>
      <c r="P28" s="8">
        <f>'Model inputs'!P59*'Model inputs'!B35</f>
        <v>3160</v>
      </c>
    </row>
    <row r="29">
      <c r="A29" t="inlineStr" s="16">
        <is>
          <t xml:space="preserve">Forecast subscription revenue · Susanoo — Growth</t>
        </is>
      </c>
      <c r="D29" t="e" s="8">
        <f>SUM('Model inputs'!D83,'Model inputs'!D84,'Model inputs'!D85)</f>
        <v>#VALUE!</v>
      </c>
      <c r="E29" s="8">
        <f>SUM('Model inputs'!E83,'Model inputs'!E84,'Model inputs'!E85)</f>
        <v>395</v>
      </c>
      <c r="F29" s="8">
        <f>SUM('Model inputs'!F83,'Model inputs'!F84,'Model inputs'!F85)</f>
        <v>1436.3636363636363</v>
      </c>
      <c r="G29" s="8">
        <f>SUM('Model inputs'!G83,'Model inputs'!G84,'Model inputs'!G85)</f>
        <v>2477.7272727272725</v>
      </c>
      <c r="H29" s="8">
        <f>SUM('Model inputs'!H83,'Model inputs'!H84,'Model inputs'!H85)</f>
        <v>3519.090909090909</v>
      </c>
      <c r="I29" s="8">
        <f>SUM('Model inputs'!I83,'Model inputs'!I84,'Model inputs'!I85)</f>
        <v>4560.454545454545</v>
      </c>
      <c r="J29" s="8">
        <f>SUM('Model inputs'!J83,'Model inputs'!J84,'Model inputs'!J85)</f>
        <v>7101.818181818182</v>
      </c>
      <c r="K29" s="8">
        <f>SUM('Model inputs'!K83,'Model inputs'!K84,'Model inputs'!K85)</f>
        <v>8143.181818181818</v>
      </c>
      <c r="L29" s="8">
        <f>SUM('Model inputs'!L83,'Model inputs'!L84,'Model inputs'!L85)</f>
        <v>10684.545454545454</v>
      </c>
      <c r="M29" s="8">
        <f>SUM('Model inputs'!M83,'Model inputs'!M84,'Model inputs'!M85)</f>
        <v>11725.90909090909</v>
      </c>
      <c r="N29" s="8">
        <f>SUM('Model inputs'!N83,'Model inputs'!N84,'Model inputs'!N85)</f>
        <v>14267.272727272728</v>
      </c>
      <c r="O29" s="8">
        <f>SUM('Model inputs'!O83,'Model inputs'!O84,'Model inputs'!O85)</f>
        <v>15308.636363636364</v>
      </c>
      <c r="P29" s="8">
        <f>SUM('Model inputs'!P83,'Model inputs'!P84,'Model inputs'!P85)</f>
        <v>17850</v>
      </c>
    </row>
    <row r="30">
      <c r="A30" t="inlineStr" s="16">
        <is>
          <t xml:space="preserve">Funding needed to date · 12-month forecast summary · Susanoo — Base</t>
        </is>
      </c>
      <c r="C30" t="e" s="8">
        <f>MAX(IF(IF(IF(ISERROR('Model inputs'!C61=1),'Model inputs'!C61=1,IF('Model inputs'!C61="","",'Model inputs'!C61=1))="",FALSE,IF(ISERROR('Model inputs'!C61=1),'Model inputs'!C61=1,IF('Model inputs'!C61="","",'Model inputs'!C61=1))),0,""),MAX(-'Model inputs'!C16,0))</f>
        <v>#VALUE!</v>
      </c>
      <c r="D30" t="e" s="8">
        <f>MAX(IF(IF(IF(ISERROR('Model inputs'!D61=1),'Model inputs'!D61=1,IF('Model inputs'!D61="","",'Model inputs'!D61=1))="",FALSE,IF(ISERROR('Model inputs'!D61=1),'Model inputs'!D61=1,IF('Model inputs'!D61="","",'Model inputs'!D61=1))),0,IF('Model inputs'!C30="","",'Model inputs'!C30)),MAX(-'Model inputs'!D16,0))</f>
        <v>#VALUE!</v>
      </c>
      <c r="E30" s="8">
        <f>MAX(IF(IF(IF(ISERROR('Model inputs'!E61=1),'Model inputs'!E61=1,IF('Model inputs'!E61="","",'Model inputs'!E61=1))="",FALSE,IF(ISERROR('Model inputs'!E61=1),'Model inputs'!E61=1,IF('Model inputs'!E61="","",'Model inputs'!E61=1))),0,IF('Model inputs'!D30="","",'Model inputs'!D30)),MAX(-'Model inputs'!E16,0))</f>
        <v>45.69999999999999</v>
      </c>
      <c r="F30" s="8">
        <f>MAX(IF(IF(IF(ISERROR('Model inputs'!F61=1),'Model inputs'!F61=1,IF('Model inputs'!F61="","",'Model inputs'!F61=1))="",FALSE,IF(ISERROR('Model inputs'!F61=1),'Model inputs'!F61=1,IF('Model inputs'!F61="","",'Model inputs'!F61=1))),0,IF('Model inputs'!E30="","",'Model inputs'!E30)),MAX(-'Model inputs'!F16,0))</f>
        <v>45.69999999999999</v>
      </c>
      <c r="G30" s="8">
        <f>MAX(IF(IF(IF(ISERROR('Model inputs'!G61=1),'Model inputs'!G61=1,IF('Model inputs'!G61="","",'Model inputs'!G61=1))="",FALSE,IF(ISERROR('Model inputs'!G61=1),'Model inputs'!G61=1,IF('Model inputs'!G61="","",'Model inputs'!G61=1))),0,IF('Model inputs'!F30="","",'Model inputs'!F30)),MAX(-'Model inputs'!G16,0))</f>
        <v>45.69999999999999</v>
      </c>
      <c r="H30" s="8">
        <f>MAX(IF(IF(IF(ISERROR('Model inputs'!H61=1),'Model inputs'!H61=1,IF('Model inputs'!H61="","",'Model inputs'!H61=1))="",FALSE,IF(ISERROR('Model inputs'!H61=1),'Model inputs'!H61=1,IF('Model inputs'!H61="","",'Model inputs'!H61=1))),0,IF('Model inputs'!G30="","",'Model inputs'!G30)),MAX(-'Model inputs'!H16,0))</f>
        <v>45.69999999999999</v>
      </c>
      <c r="I30" s="8">
        <f>MAX(IF(IF(IF(ISERROR('Model inputs'!I61=1),'Model inputs'!I61=1,IF('Model inputs'!I61="","",'Model inputs'!I61=1))="",FALSE,IF(ISERROR('Model inputs'!I61=1),'Model inputs'!I61=1,IF('Model inputs'!I61="","",'Model inputs'!I61=1))),0,IF('Model inputs'!H30="","",'Model inputs'!H30)),MAX(-'Model inputs'!I16,0))</f>
        <v>45.69999999999999</v>
      </c>
      <c r="J30" s="8">
        <f>MAX(IF(IF(IF(ISERROR('Model inputs'!J61=1),'Model inputs'!J61=1,IF('Model inputs'!J61="","",'Model inputs'!J61=1))="",FALSE,IF(ISERROR('Model inputs'!J61=1),'Model inputs'!J61=1,IF('Model inputs'!J61="","",'Model inputs'!J61=1))),0,IF('Model inputs'!I30="","",'Model inputs'!I30)),MAX(-'Model inputs'!J16,0))</f>
        <v>45.69999999999999</v>
      </c>
      <c r="K30" s="8">
        <f>MAX(IF(IF(IF(ISERROR('Model inputs'!K61=1),'Model inputs'!K61=1,IF('Model inputs'!K61="","",'Model inputs'!K61=1))="",FALSE,IF(ISERROR('Model inputs'!K61=1),'Model inputs'!K61=1,IF('Model inputs'!K61="","",'Model inputs'!K61=1))),0,IF('Model inputs'!J30="","",'Model inputs'!J30)),MAX(-'Model inputs'!K16,0))</f>
        <v>45.69999999999999</v>
      </c>
      <c r="L30" s="8">
        <f>MAX(IF(IF(IF(ISERROR('Model inputs'!L61=1),'Model inputs'!L61=1,IF('Model inputs'!L61="","",'Model inputs'!L61=1))="",FALSE,IF(ISERROR('Model inputs'!L61=1),'Model inputs'!L61=1,IF('Model inputs'!L61="","",'Model inputs'!L61=1))),0,IF('Model inputs'!K30="","",'Model inputs'!K30)),MAX(-'Model inputs'!L16,0))</f>
        <v>45.69999999999999</v>
      </c>
      <c r="M30" s="8">
        <f>MAX(IF(IF(IF(ISERROR('Model inputs'!M61=1),'Model inputs'!M61=1,IF('Model inputs'!M61="","",'Model inputs'!M61=1))="",FALSE,IF(ISERROR('Model inputs'!M61=1),'Model inputs'!M61=1,IF('Model inputs'!M61="","",'Model inputs'!M61=1))),0,IF('Model inputs'!L30="","",'Model inputs'!L30)),MAX(-'Model inputs'!M16,0))</f>
        <v>45.69999999999999</v>
      </c>
      <c r="N30" s="8">
        <f>MAX(IF(IF(IF(ISERROR('Model inputs'!N61=1),'Model inputs'!N61=1,IF('Model inputs'!N61="","",'Model inputs'!N61=1))="",FALSE,IF(ISERROR('Model inputs'!N61=1),'Model inputs'!N61=1,IF('Model inputs'!N61="","",'Model inputs'!N61=1))),0,IF('Model inputs'!M30="","",'Model inputs'!M30)),MAX(-'Model inputs'!N16,0))</f>
        <v>45.69999999999999</v>
      </c>
      <c r="O30" s="8">
        <f>MAX(IF(IF(IF(ISERROR('Model inputs'!O61=1),'Model inputs'!O61=1,IF('Model inputs'!O61="","",'Model inputs'!O61=1))="",FALSE,IF(ISERROR('Model inputs'!O61=1),'Model inputs'!O61=1,IF('Model inputs'!O61="","",'Model inputs'!O61=1))),0,IF('Model inputs'!N30="","",'Model inputs'!N30)),MAX(-'Model inputs'!O16,0))</f>
        <v>45.69999999999999</v>
      </c>
      <c r="P30" s="8">
        <f>MAX(IF(IF(IF(ISERROR('Model inputs'!P61=1),'Model inputs'!P61=1,IF('Model inputs'!P61="","",'Model inputs'!P61=1))="",FALSE,IF(ISERROR('Model inputs'!P61=1),'Model inputs'!P61=1,IF('Model inputs'!P61="","",'Model inputs'!P61=1))),0,IF('Model inputs'!O30="","",'Model inputs'!O30)),MAX(-'Model inputs'!P16,0))</f>
        <v>45.69999999999999</v>
      </c>
    </row>
    <row r="31">
      <c r="A31" t="inlineStr" s="16">
        <is>
          <t xml:space="preserve">Funding needed to date · Susanoo — Growth</t>
        </is>
      </c>
      <c r="D31" t="e" s="8">
        <f>MAX(IF(IF(IF(ISERROR('Model inputs'!D79=1),'Model inputs'!D79=1,IF('Model inputs'!D79="","",'Model inputs'!D79=1))="",FALSE,IF(ISERROR('Model inputs'!D79=1),'Model inputs'!D79=1,IF('Model inputs'!D79="","",'Model inputs'!D79=1))),0,IF('Model inputs'!C86="","",'Model inputs'!C86)),MAX(-'Model inputs'!D17,0))</f>
        <v>#VALUE!</v>
      </c>
      <c r="E31" s="8">
        <f>MAX(IF(IF(IF(ISERROR('Model inputs'!E79=1),'Model inputs'!E79=1,IF('Model inputs'!E79="","",'Model inputs'!E79=1))="",FALSE,IF(ISERROR('Model inputs'!E79=1),'Model inputs'!E79=1,IF('Model inputs'!E79="","",'Model inputs'!E79=1))),0,IF('Model inputs'!D31="","",'Model inputs'!D31)),MAX(-'Model inputs'!E17,0))</f>
        <v>120.25</v>
      </c>
      <c r="F31" s="8">
        <f>MAX(IF(IF(IF(ISERROR('Model inputs'!F79=1),'Model inputs'!F79=1,IF('Model inputs'!F79="","",'Model inputs'!F79=1))="",FALSE,IF(ISERROR('Model inputs'!F79=1),'Model inputs'!F79=1,IF('Model inputs'!F79="","",'Model inputs'!F79=1))),0,IF('Model inputs'!E31="","",'Model inputs'!E31)),MAX(-'Model inputs'!F17,0))</f>
        <v>120.25</v>
      </c>
      <c r="G31" s="8">
        <f>MAX(IF(IF(IF(ISERROR('Model inputs'!G79=1),'Model inputs'!G79=1,IF('Model inputs'!G79="","",'Model inputs'!G79=1))="",FALSE,IF(ISERROR('Model inputs'!G79=1),'Model inputs'!G79=1,IF('Model inputs'!G79="","",'Model inputs'!G79=1))),0,IF('Model inputs'!F31="","",'Model inputs'!F31)),MAX(-'Model inputs'!G17,0))</f>
        <v>120.25</v>
      </c>
      <c r="H31" s="8">
        <f>MAX(IF(IF(IF(ISERROR('Model inputs'!H79=1),'Model inputs'!H79=1,IF('Model inputs'!H79="","",'Model inputs'!H79=1))="",FALSE,IF(ISERROR('Model inputs'!H79=1),'Model inputs'!H79=1,IF('Model inputs'!H79="","",'Model inputs'!H79=1))),0,IF('Model inputs'!G31="","",'Model inputs'!G31)),MAX(-'Model inputs'!H17,0))</f>
        <v>120.25</v>
      </c>
      <c r="I31" s="8">
        <f>MAX(IF(IF(IF(ISERROR('Model inputs'!I79=1),'Model inputs'!I79=1,IF('Model inputs'!I79="","",'Model inputs'!I79=1))="",FALSE,IF(ISERROR('Model inputs'!I79=1),'Model inputs'!I79=1,IF('Model inputs'!I79="","",'Model inputs'!I79=1))),0,IF('Model inputs'!H31="","",'Model inputs'!H31)),MAX(-'Model inputs'!I17,0))</f>
        <v>120.25</v>
      </c>
      <c r="J31" s="8">
        <f>MAX(IF(IF(IF(ISERROR('Model inputs'!J79=1),'Model inputs'!J79=1,IF('Model inputs'!J79="","",'Model inputs'!J79=1))="",FALSE,IF(ISERROR('Model inputs'!J79=1),'Model inputs'!J79=1,IF('Model inputs'!J79="","",'Model inputs'!J79=1))),0,IF('Model inputs'!I31="","",'Model inputs'!I31)),MAX(-'Model inputs'!J17,0))</f>
        <v>271.38636363636397</v>
      </c>
      <c r="K31" s="8">
        <f>MAX(IF(IF(IF(ISERROR('Model inputs'!K79=1),'Model inputs'!K79=1,IF('Model inputs'!K79="","",'Model inputs'!K79=1))="",FALSE,IF(ISERROR('Model inputs'!K79=1),'Model inputs'!K79=1,IF('Model inputs'!K79="","",'Model inputs'!K79=1))),0,IF('Model inputs'!J31="","",'Model inputs'!J31)),MAX(-'Model inputs'!K17,0))</f>
        <v>3004.59090909091</v>
      </c>
      <c r="L31" s="8">
        <f>MAX(IF(IF(IF(ISERROR('Model inputs'!L79=1),'Model inputs'!L79=1,IF('Model inputs'!L79="","",'Model inputs'!L79=1))="",FALSE,IF(ISERROR('Model inputs'!L79=1),'Model inputs'!L79=1,IF('Model inputs'!L79="","",'Model inputs'!L79=1))),0,IF('Model inputs'!K31="","",'Model inputs'!K31)),MAX(-'Model inputs'!L17,0))</f>
        <v>4052.4545454545478</v>
      </c>
      <c r="M31" s="8">
        <f>MAX(IF(IF(IF(ISERROR('Model inputs'!M79=1),'Model inputs'!M79=1,IF('Model inputs'!M79="","",'Model inputs'!M79=1))="",FALSE,IF(ISERROR('Model inputs'!M79=1),'Model inputs'!M79=1,IF('Model inputs'!M79="","",'Model inputs'!M79=1))),0,IF('Model inputs'!L31="","",'Model inputs'!L31)),MAX(-'Model inputs'!M17,0))</f>
        <v>4759.977272727276</v>
      </c>
      <c r="N31" s="8">
        <f>MAX(IF(IF(IF(ISERROR('Model inputs'!N79=1),'Model inputs'!N79=1,IF('Model inputs'!N79="","",'Model inputs'!N79=1))="",FALSE,IF(ISERROR('Model inputs'!N79=1),'Model inputs'!N79=1,IF('Model inputs'!N79="","",'Model inputs'!N79=1))),0,IF('Model inputs'!M31="","",'Model inputs'!M31)),MAX(-'Model inputs'!N17,0))</f>
        <v>4759.977272727276</v>
      </c>
      <c r="O31" s="8">
        <f>MAX(IF(IF(IF(ISERROR('Model inputs'!O79=1),'Model inputs'!O79=1,IF('Model inputs'!O79="","",'Model inputs'!O79=1))="",FALSE,IF(ISERROR('Model inputs'!O79=1),'Model inputs'!O79=1,IF('Model inputs'!O79="","",'Model inputs'!O79=1))),0,IF('Model inputs'!N31="","",'Model inputs'!N31)),MAX(-'Model inputs'!O17,0))</f>
        <v>4759.977272727276</v>
      </c>
      <c r="P31" s="8">
        <f>MAX(IF(IF(IF(ISERROR('Model inputs'!P79=1),'Model inputs'!P79=1,IF('Model inputs'!P79="","",'Model inputs'!P79=1))="",FALSE,IF(ISERROR('Model inputs'!P79=1),'Model inputs'!P79=1,IF('Model inputs'!P79="","",'Model inputs'!P79=1))),0,IF('Model inputs'!O31="","",'Model inputs'!O31)),MAX(-'Model inputs'!P17,0))</f>
        <v>4759.977272727276</v>
      </c>
    </row>
    <row r="32">
      <c r="A32" t="inlineStr" s="16">
        <is>
          <t xml:space="preserve">Monthly subscription price</t>
        </is>
      </c>
      <c r="B32" s="6">
        <v>0</v>
      </c>
    </row>
    <row r="33" outlineLevel="1">
      <c r="A33" t="inlineStr" s="17">
        <is>
          <t xml:space="preserve">Monthly subscription price &gt; Enterprise</t>
        </is>
      </c>
      <c r="B33" s="8">
        <f>1500</f>
        <v>1500</v>
      </c>
    </row>
    <row r="34" outlineLevel="1">
      <c r="A34" t="inlineStr" s="17">
        <is>
          <t xml:space="preserve">Monthly subscription price &gt; Free</t>
        </is>
      </c>
      <c r="B34" s="8">
        <f>0</f>
        <v>0</v>
      </c>
    </row>
    <row r="35" outlineLevel="1">
      <c r="A35" t="inlineStr" s="17">
        <is>
          <t xml:space="preserve">Monthly subscription price &gt; Team</t>
        </is>
      </c>
      <c r="B35" s="8">
        <f>79</f>
        <v>79</v>
      </c>
    </row>
    <row r="36">
      <c r="A36" t="inlineStr" s="16">
        <is>
          <t xml:space="preserve">Opening customer count</t>
        </is>
      </c>
      <c r="B36" s="12">
        <v>0</v>
      </c>
    </row>
    <row r="37" outlineLevel="1">
      <c r="A37" t="inlineStr" s="17">
        <is>
          <t xml:space="preserve">Opening customer count &gt; Enterprise</t>
        </is>
      </c>
      <c r="B37" s="14">
        <v>0</v>
      </c>
    </row>
    <row r="38" outlineLevel="1">
      <c r="A38" t="inlineStr" s="17">
        <is>
          <t xml:space="preserve">Opening customer count &gt; Free</t>
        </is>
      </c>
      <c r="B38" s="14">
        <f>25</f>
        <v>25</v>
      </c>
    </row>
    <row r="39" outlineLevel="1">
      <c r="A39" t="inlineStr" s="17">
        <is>
          <t xml:space="preserve">Opening customer count &gt; Team</t>
        </is>
      </c>
      <c r="B39" s="14">
        <f>2</f>
        <v>2</v>
      </c>
    </row>
    <row r="40">
      <c r="A40" t="inlineStr" s="16">
        <is>
          <t xml:space="preserve">Starting forecast cash · Monthly revenue cost and runway</t>
        </is>
      </c>
      <c r="B40" s="8">
        <f>0</f>
        <v>0</v>
      </c>
    </row>
    <row r="41">
      <c r="A41" t="inlineStr" s="16">
        <is>
          <t xml:space="preserve">Total cost per run · Customers revenue and run costs</t>
        </is>
      </c>
      <c r="B41" s="14">
        <f>'Model inputs'!B87+'Model inputs'!B90</f>
        <v>1.55</v>
      </c>
    </row>
    <row r="42">
      <c r="A42" t="inlineStr" s="16">
        <is>
          <t xml:space="preserve">Total forecast costs · 12-month forecast summary · Susanoo — Base</t>
        </is>
      </c>
      <c r="C42" t="e" s="8">
        <f>'Model inputs'!C62+'Model inputs'!C60+'Model inputs'!C66</f>
        <v>#VALUE!</v>
      </c>
      <c r="D42" t="e" s="8">
        <f>'Model inputs'!D62+'Model inputs'!D60+'Model inputs'!D66</f>
        <v>#VALUE!</v>
      </c>
      <c r="E42" s="8">
        <f>'Model inputs'!E62+'Model inputs'!E60+'Model inputs'!E66</f>
        <v>203.7</v>
      </c>
      <c r="F42" s="8">
        <f>'Model inputs'!F62+'Model inputs'!F60+'Model inputs'!F66</f>
        <v>345.4545454545455</v>
      </c>
      <c r="G42" s="8">
        <f>'Model inputs'!G62+'Model inputs'!G60+'Model inputs'!G66</f>
        <v>487.20909090909095</v>
      </c>
      <c r="H42" s="8">
        <f>'Model inputs'!H62+'Model inputs'!H60+'Model inputs'!H66</f>
        <v>628.9636363636364</v>
      </c>
      <c r="I42" s="8">
        <f>'Model inputs'!I62+'Model inputs'!I60+'Model inputs'!I66</f>
        <v>770.7181818181818</v>
      </c>
      <c r="J42" s="8">
        <f>'Model inputs'!J62+'Model inputs'!J60+'Model inputs'!J66</f>
        <v>912.4727272727273</v>
      </c>
      <c r="K42" s="8">
        <f>'Model inputs'!K62+'Model inputs'!K60+'Model inputs'!K66</f>
        <v>1054.2272727272727</v>
      </c>
      <c r="L42" s="8">
        <f>'Model inputs'!L62+'Model inputs'!L60+'Model inputs'!L66</f>
        <v>1195.9818181818182</v>
      </c>
      <c r="M42" s="8">
        <f>'Model inputs'!M62+'Model inputs'!M60+'Model inputs'!M66</f>
        <v>1492.7363636363636</v>
      </c>
      <c r="N42" s="8">
        <f>'Model inputs'!N62+'Model inputs'!N60+'Model inputs'!N66</f>
        <v>1634.490909090909</v>
      </c>
      <c r="O42" s="8">
        <f>'Model inputs'!O62+'Model inputs'!O60+'Model inputs'!O66</f>
        <v>1776.2454545454545</v>
      </c>
      <c r="P42" s="8">
        <f>'Model inputs'!P62+'Model inputs'!P60+'Model inputs'!P66</f>
        <v>1918</v>
      </c>
    </row>
    <row r="43">
      <c r="A43" t="inlineStr" s="16">
        <is>
          <t xml:space="preserve">Total forecast costs · Susanoo — Growth</t>
        </is>
      </c>
      <c r="D43" t="e" s="8">
        <f>'Model inputs'!D80+'Model inputs'!D78+'Model inputs'!D81</f>
        <v>#VALUE!</v>
      </c>
      <c r="E43" s="8">
        <f>'Model inputs'!E80+'Model inputs'!E78+'Model inputs'!E81</f>
        <v>515.25</v>
      </c>
      <c r="F43" s="8">
        <f>'Model inputs'!F80+'Model inputs'!F78+'Model inputs'!F81</f>
        <v>1216.2727272727273</v>
      </c>
      <c r="G43" s="8">
        <f>'Model inputs'!G80+'Model inputs'!G78+'Model inputs'!G81</f>
        <v>1917.2954545454545</v>
      </c>
      <c r="H43" s="8">
        <f>'Model inputs'!H80+'Model inputs'!H78+'Model inputs'!H81</f>
        <v>2618.318181818182</v>
      </c>
      <c r="I43" s="8">
        <f>'Model inputs'!I80+'Model inputs'!I78+'Model inputs'!I81</f>
        <v>3319.340909090909</v>
      </c>
      <c r="J43" s="8">
        <f>'Model inputs'!J80+'Model inputs'!J78+'Model inputs'!J81</f>
        <v>10175.363636363636</v>
      </c>
      <c r="K43" s="8">
        <f>'Model inputs'!K80+'Model inputs'!K78+'Model inputs'!K81</f>
        <v>10876.386363636364</v>
      </c>
      <c r="L43" s="8">
        <f>'Model inputs'!L80+'Model inputs'!L78+'Model inputs'!L81</f>
        <v>11732.409090909092</v>
      </c>
      <c r="M43" s="8">
        <f>'Model inputs'!M80+'Model inputs'!M78+'Model inputs'!M81</f>
        <v>12433.431818181818</v>
      </c>
      <c r="N43" s="8">
        <f>'Model inputs'!N80+'Model inputs'!N78+'Model inputs'!N81</f>
        <v>13289.454545454546</v>
      </c>
      <c r="O43" s="8">
        <f>'Model inputs'!O80+'Model inputs'!O78+'Model inputs'!O81</f>
        <v>13990.477272727272</v>
      </c>
      <c r="P43" s="8">
        <f>'Model inputs'!P80+'Model inputs'!P78+'Model inputs'!P81</f>
        <v>14846.5</v>
      </c>
    </row>
    <row r="44">
      <c r="A44" t="inlineStr" s="16">
        <is>
          <t xml:space="preserve">Worker included in plan</t>
        </is>
      </c>
      <c r="B44" s="12">
        <v>0</v>
      </c>
    </row>
    <row r="45" outlineLevel="1">
      <c r="A45" t="inlineStr" s="17">
        <is>
          <t xml:space="preserve">Worker included in plan &gt; Founder 1</t>
        </is>
      </c>
      <c r="B45" s="14">
        <f>1</f>
        <v>1</v>
      </c>
    </row>
    <row r="46" outlineLevel="1">
      <c r="A46" t="inlineStr" s="17">
        <is>
          <t xml:space="preserve">Worker included in plan &gt; Founder 2</t>
        </is>
      </c>
      <c r="B46" s="14">
        <f>1</f>
        <v>1</v>
      </c>
    </row>
    <row r="47" outlineLevel="1">
      <c r="A47" t="inlineStr" s="17">
        <is>
          <t xml:space="preserve">Worker included in plan &gt; Planned engineer</t>
        </is>
      </c>
      <c r="B47" s="14">
        <f>0</f>
        <v>0</v>
      </c>
    </row>
    <row r="48">
      <c r="A48" t="inlineStr" s="16">
        <is>
          <t xml:space="preserve">Worker monthly salary</t>
        </is>
      </c>
      <c r="B48" s="6">
        <v>0</v>
      </c>
    </row>
    <row r="49" outlineLevel="1">
      <c r="A49" t="inlineStr" s="17">
        <is>
          <t xml:space="preserve">Worker monthly salary &gt; Founder 1</t>
        </is>
      </c>
      <c r="B49" s="8">
        <f>0</f>
        <v>0</v>
      </c>
    </row>
    <row r="50" outlineLevel="1">
      <c r="A50" t="inlineStr" s="17">
        <is>
          <t xml:space="preserve">Worker monthly salary &gt; Founder 2</t>
        </is>
      </c>
      <c r="B50" s="8">
        <f>0</f>
        <v>0</v>
      </c>
    </row>
    <row r="51" outlineLevel="1">
      <c r="A51" t="inlineStr" s="17">
        <is>
          <t xml:space="preserve">Worker monthly salary &gt; Planned engineer</t>
        </is>
      </c>
      <c r="B51" s="8">
        <f>6000</f>
        <v>6000</v>
      </c>
    </row>
    <row r="52">
      <c r="A52" t="inlineStr" s="16">
        <is>
          <t xml:space="preserve">Worker start month</t>
        </is>
      </c>
      <c r="B52" s="12">
        <v>0</v>
      </c>
    </row>
    <row r="53" outlineLevel="1">
      <c r="A53" t="inlineStr" s="17">
        <is>
          <t xml:space="preserve">Worker start month &gt; Founder 1</t>
        </is>
      </c>
      <c r="B53" s="14">
        <f>1</f>
        <v>1</v>
      </c>
    </row>
    <row r="54" outlineLevel="1">
      <c r="A54" t="inlineStr" s="17">
        <is>
          <t xml:space="preserve">Worker start month &gt; Founder 2</t>
        </is>
      </c>
      <c r="B54" s="14">
        <f>1</f>
        <v>1</v>
      </c>
    </row>
    <row r="55" outlineLevel="1">
      <c r="A55" t="inlineStr" s="17">
        <is>
          <t xml:space="preserve">Worker start month &gt; Planned engineer</t>
        </is>
      </c>
      <c r="B55" s="14">
        <f>6</f>
        <v>6</v>
      </c>
    </row>
    <row r="56">
      <c r="A56" t="inlineStr" s="16">
        <is>
          <t xml:space="preserve">Forecast customers</t>
        </is>
      </c>
      <c r="C56" t="e" s="12">
        <f>SUM('Model inputs'!C57,'Model inputs'!C58,'Model inputs'!C59)</f>
        <v>#VALUE!</v>
      </c>
      <c r="D56" t="e" s="12">
        <f>SUM('Model inputs'!D57,'Model inputs'!D58,'Model inputs'!D59)</f>
        <v>#VALUE!</v>
      </c>
      <c r="E56" s="12">
        <f>SUM('Model inputs'!E57,'Model inputs'!E58,'Model inputs'!E59)</f>
        <v>27</v>
      </c>
      <c r="F56" s="12">
        <f>SUM('Model inputs'!F57,'Model inputs'!F58,'Model inputs'!F59)</f>
        <v>55.45454545454545</v>
      </c>
      <c r="G56" s="12">
        <f>SUM('Model inputs'!G57,'Model inputs'!G58,'Model inputs'!G59)</f>
        <v>83.9090909090909</v>
      </c>
      <c r="H56" s="12">
        <f>SUM('Model inputs'!H57,'Model inputs'!H58,'Model inputs'!H59)</f>
        <v>112.36363636363636</v>
      </c>
      <c r="I56" s="12">
        <f>SUM('Model inputs'!I57,'Model inputs'!I58,'Model inputs'!I59)</f>
        <v>140.8181818181818</v>
      </c>
      <c r="J56" s="12">
        <f>SUM('Model inputs'!J57,'Model inputs'!J58,'Model inputs'!J59)</f>
        <v>169.27272727272728</v>
      </c>
      <c r="K56" s="12">
        <f>SUM('Model inputs'!K57,'Model inputs'!K58,'Model inputs'!K59)</f>
        <v>197.72727272727272</v>
      </c>
      <c r="L56" s="12">
        <f>SUM('Model inputs'!L57,'Model inputs'!L58,'Model inputs'!L59)</f>
        <v>226.1818181818182</v>
      </c>
      <c r="M56" s="12">
        <f>SUM('Model inputs'!M57,'Model inputs'!M58,'Model inputs'!M59)</f>
        <v>255.63636363636363</v>
      </c>
      <c r="N56" s="12">
        <f>SUM('Model inputs'!N57,'Model inputs'!N58,'Model inputs'!N59)</f>
        <v>284.0909090909091</v>
      </c>
      <c r="O56" s="12">
        <f>SUM('Model inputs'!O57,'Model inputs'!O58,'Model inputs'!O59)</f>
        <v>312.54545454545456</v>
      </c>
      <c r="P56" s="12">
        <f>SUM('Model inputs'!P57,'Model inputs'!P58,'Model inputs'!P59)</f>
        <v>341</v>
      </c>
    </row>
    <row r="57" outlineLevel="1">
      <c r="A57" t="inlineStr" s="17">
        <is>
          <t xml:space="preserve">Forecast customers &gt; Enterprise</t>
        </is>
      </c>
      <c r="C57" t="e" s="14">
        <f>IF(EXACT("Enterprise","Enterprise"),IF(IF(IF(ISERROR('Model inputs'!C61=1),'Model inputs'!C61=1,IF('Model inputs'!C61="","",'Model inputs'!C61=1))="",FALSE,IF(ISERROR('Model inputs'!C61=1),'Model inputs'!C61=1,IF('Model inputs'!C61="","",'Model inputs'!C61=1))),IF('Model inputs'!C10="","",'Model inputs'!C10),0+'Model inputs'!C10),'Model inputs'!B37+('Model inputs'!B7-'Model inputs'!B37)*('Model inputs'!C61-1)/('Model inputs'!Q18-1))</f>
        <v>#VALUE!</v>
      </c>
      <c r="D57" t="e" s="14">
        <f>IF(EXACT("Enterprise","Enterprise"),IF(IF(IF(ISERROR('Model inputs'!D61=1),'Model inputs'!D61=1,IF('Model inputs'!D61="","",'Model inputs'!D61=1))="",FALSE,IF(ISERROR('Model inputs'!D61=1),'Model inputs'!D61=1,IF('Model inputs'!D61="","",'Model inputs'!D61=1))),IF('Model inputs'!D10="","",'Model inputs'!D10),'Model inputs'!C57+'Model inputs'!D10),'Model inputs'!B37+('Model inputs'!B7-'Model inputs'!B37)*('Model inputs'!D61-1)/('Model inputs'!Q18-1))</f>
        <v>#VALUE!</v>
      </c>
      <c r="E57" s="14">
        <f>IF(EXACT("Enterprise","Enterprise"),IF(IF(IF(ISERROR('Model inputs'!E61=1),'Model inputs'!E61=1,IF('Model inputs'!E61="","",'Model inputs'!E61=1))="",FALSE,IF(ISERROR('Model inputs'!E61=1),'Model inputs'!E61=1,IF('Model inputs'!E61="","",'Model inputs'!E61=1))),IF('Model inputs'!E10="","",'Model inputs'!E10),'Model inputs'!D57+'Model inputs'!E10),'Model inputs'!B37+('Model inputs'!B7-'Model inputs'!B37)*('Model inputs'!E61-1)/('Model inputs'!Q18-1))</f>
        <v>0</v>
      </c>
      <c r="F57" s="14">
        <f>IF(EXACT("Enterprise","Enterprise"),IF(IF(IF(ISERROR('Model inputs'!F61=1),'Model inputs'!F61=1,IF('Model inputs'!F61="","",'Model inputs'!F61=1))="",FALSE,IF(ISERROR('Model inputs'!F61=1),'Model inputs'!F61=1,IF('Model inputs'!F61="","",'Model inputs'!F61=1))),IF('Model inputs'!F10="","",'Model inputs'!F10),'Model inputs'!E57+'Model inputs'!F10),'Model inputs'!B37+('Model inputs'!B7-'Model inputs'!B37)*('Model inputs'!F61-1)/('Model inputs'!Q18-1))</f>
        <v>0</v>
      </c>
      <c r="G57" s="14">
        <f>IF(EXACT("Enterprise","Enterprise"),IF(IF(IF(ISERROR('Model inputs'!G61=1),'Model inputs'!G61=1,IF('Model inputs'!G61="","",'Model inputs'!G61=1))="",FALSE,IF(ISERROR('Model inputs'!G61=1),'Model inputs'!G61=1,IF('Model inputs'!G61="","",'Model inputs'!G61=1))),IF('Model inputs'!G10="","",'Model inputs'!G10),'Model inputs'!F57+'Model inputs'!G10),'Model inputs'!B37+('Model inputs'!B7-'Model inputs'!B37)*('Model inputs'!G61-1)/('Model inputs'!Q18-1))</f>
        <v>0</v>
      </c>
      <c r="H57" s="14">
        <f>IF(EXACT("Enterprise","Enterprise"),IF(IF(IF(ISERROR('Model inputs'!H61=1),'Model inputs'!H61=1,IF('Model inputs'!H61="","",'Model inputs'!H61=1))="",FALSE,IF(ISERROR('Model inputs'!H61=1),'Model inputs'!H61=1,IF('Model inputs'!H61="","",'Model inputs'!H61=1))),IF('Model inputs'!H10="","",'Model inputs'!H10),'Model inputs'!G57+'Model inputs'!H10),'Model inputs'!B37+('Model inputs'!B7-'Model inputs'!B37)*('Model inputs'!H61-1)/('Model inputs'!Q18-1))</f>
        <v>0</v>
      </c>
      <c r="I57" s="14">
        <f>IF(EXACT("Enterprise","Enterprise"),IF(IF(IF(ISERROR('Model inputs'!I61=1),'Model inputs'!I61=1,IF('Model inputs'!I61="","",'Model inputs'!I61=1))="",FALSE,IF(ISERROR('Model inputs'!I61=1),'Model inputs'!I61=1,IF('Model inputs'!I61="","",'Model inputs'!I61=1))),IF('Model inputs'!I10="","",'Model inputs'!I10),'Model inputs'!H57+'Model inputs'!I10),'Model inputs'!B37+('Model inputs'!B7-'Model inputs'!B37)*('Model inputs'!I61-1)/('Model inputs'!Q18-1))</f>
        <v>0</v>
      </c>
      <c r="J57" s="14">
        <f>IF(EXACT("Enterprise","Enterprise"),IF(IF(IF(ISERROR('Model inputs'!J61=1),'Model inputs'!J61=1,IF('Model inputs'!J61="","",'Model inputs'!J61=1))="",FALSE,IF(ISERROR('Model inputs'!J61=1),'Model inputs'!J61=1,IF('Model inputs'!J61="","",'Model inputs'!J61=1))),IF('Model inputs'!J10="","",'Model inputs'!J10),'Model inputs'!I57+'Model inputs'!J10),'Model inputs'!B37+('Model inputs'!B7-'Model inputs'!B37)*('Model inputs'!J61-1)/('Model inputs'!Q18-1))</f>
        <v>0</v>
      </c>
      <c r="K57" s="14">
        <f>IF(EXACT("Enterprise","Enterprise"),IF(IF(IF(ISERROR('Model inputs'!K61=1),'Model inputs'!K61=1,IF('Model inputs'!K61="","",'Model inputs'!K61=1))="",FALSE,IF(ISERROR('Model inputs'!K61=1),'Model inputs'!K61=1,IF('Model inputs'!K61="","",'Model inputs'!K61=1))),IF('Model inputs'!K10="","",'Model inputs'!K10),'Model inputs'!J57+'Model inputs'!K10),'Model inputs'!B37+('Model inputs'!B7-'Model inputs'!B37)*('Model inputs'!K61-1)/('Model inputs'!Q18-1))</f>
        <v>0</v>
      </c>
      <c r="L57" s="14">
        <f>IF(EXACT("Enterprise","Enterprise"),IF(IF(IF(ISERROR('Model inputs'!L61=1),'Model inputs'!L61=1,IF('Model inputs'!L61="","",'Model inputs'!L61=1))="",FALSE,IF(ISERROR('Model inputs'!L61=1),'Model inputs'!L61=1,IF('Model inputs'!L61="","",'Model inputs'!L61=1))),IF('Model inputs'!L10="","",'Model inputs'!L10),'Model inputs'!K57+'Model inputs'!L10),'Model inputs'!B37+('Model inputs'!B7-'Model inputs'!B37)*('Model inputs'!L61-1)/('Model inputs'!Q18-1))</f>
        <v>0</v>
      </c>
      <c r="M57" s="14">
        <f>IF(EXACT("Enterprise","Enterprise"),IF(IF(IF(ISERROR('Model inputs'!M61=1),'Model inputs'!M61=1,IF('Model inputs'!M61="","",'Model inputs'!M61=1))="",FALSE,IF(ISERROR('Model inputs'!M61=1),'Model inputs'!M61=1,IF('Model inputs'!M61="","",'Model inputs'!M61=1))),IF('Model inputs'!M10="","",'Model inputs'!M10),'Model inputs'!L57+'Model inputs'!M10),'Model inputs'!B37+('Model inputs'!B7-'Model inputs'!B37)*('Model inputs'!M61-1)/('Model inputs'!Q18-1))</f>
        <v>1</v>
      </c>
      <c r="N57" s="14">
        <f>IF(EXACT("Enterprise","Enterprise"),IF(IF(IF(ISERROR('Model inputs'!N61=1),'Model inputs'!N61=1,IF('Model inputs'!N61="","",'Model inputs'!N61=1))="",FALSE,IF(ISERROR('Model inputs'!N61=1),'Model inputs'!N61=1,IF('Model inputs'!N61="","",'Model inputs'!N61=1))),IF('Model inputs'!N10="","",'Model inputs'!N10),'Model inputs'!M57+'Model inputs'!N10),'Model inputs'!B37+('Model inputs'!B7-'Model inputs'!B37)*('Model inputs'!N61-1)/('Model inputs'!Q18-1))</f>
        <v>1</v>
      </c>
      <c r="O57" s="14">
        <f>IF(EXACT("Enterprise","Enterprise"),IF(IF(IF(ISERROR('Model inputs'!O61=1),'Model inputs'!O61=1,IF('Model inputs'!O61="","",'Model inputs'!O61=1))="",FALSE,IF(ISERROR('Model inputs'!O61=1),'Model inputs'!O61=1,IF('Model inputs'!O61="","",'Model inputs'!O61=1))),IF('Model inputs'!O10="","",'Model inputs'!O10),'Model inputs'!N57+'Model inputs'!O10),'Model inputs'!B37+('Model inputs'!B7-'Model inputs'!B37)*('Model inputs'!O61-1)/('Model inputs'!Q18-1))</f>
        <v>1</v>
      </c>
      <c r="P57" s="14">
        <f>IF(EXACT("Enterprise","Enterprise"),IF(IF(IF(ISERROR('Model inputs'!P61=1),'Model inputs'!P61=1,IF('Model inputs'!P61="","",'Model inputs'!P61=1))="",FALSE,IF(ISERROR('Model inputs'!P61=1),'Model inputs'!P61=1,IF('Model inputs'!P61="","",'Model inputs'!P61=1))),IF('Model inputs'!P10="","",'Model inputs'!P10),'Model inputs'!O57+'Model inputs'!P10),'Model inputs'!B37+('Model inputs'!B7-'Model inputs'!B37)*('Model inputs'!P61-1)/('Model inputs'!Q18-1))</f>
        <v>1</v>
      </c>
    </row>
    <row r="58" outlineLevel="1">
      <c r="A58" t="inlineStr" s="17">
        <is>
          <t xml:space="preserve">Forecast customers &gt; Free</t>
        </is>
      </c>
      <c r="C58" t="e" s="14">
        <f>IF(EXACT("Free","Enterprise"),IF(IF(IF(ISERROR('Model inputs'!C61=1),'Model inputs'!C61=1,IF('Model inputs'!C61="","",'Model inputs'!C61=1))="",FALSE,IF(ISERROR('Model inputs'!C61=1),'Model inputs'!C61=1,IF('Model inputs'!C61="","",'Model inputs'!C61=1))),IF('Model inputs'!C10="","",'Model inputs'!C10),0+'Model inputs'!C10),'Model inputs'!B38+('Model inputs'!B8-'Model inputs'!B38)*('Model inputs'!C61-1)/('Model inputs'!Q18-1))</f>
        <v>#VALUE!</v>
      </c>
      <c r="D58" t="e" s="14">
        <f>IF(EXACT("Free","Enterprise"),IF(IF(IF(ISERROR('Model inputs'!D61=1),'Model inputs'!D61=1,IF('Model inputs'!D61="","",'Model inputs'!D61=1))="",FALSE,IF(ISERROR('Model inputs'!D61=1),'Model inputs'!D61=1,IF('Model inputs'!D61="","",'Model inputs'!D61=1))),IF('Model inputs'!D10="","",'Model inputs'!D10),'Model inputs'!C58+'Model inputs'!D10),'Model inputs'!B38+('Model inputs'!B8-'Model inputs'!B38)*('Model inputs'!D61-1)/('Model inputs'!Q18-1))</f>
        <v>#VALUE!</v>
      </c>
      <c r="E58" s="14">
        <f>IF(EXACT("Free","Enterprise"),IF(IF(IF(ISERROR('Model inputs'!E61=1),'Model inputs'!E61=1,IF('Model inputs'!E61="","",'Model inputs'!E61=1))="",FALSE,IF(ISERROR('Model inputs'!E61=1),'Model inputs'!E61=1,IF('Model inputs'!E61="","",'Model inputs'!E61=1))),IF('Model inputs'!E10="","",'Model inputs'!E10),'Model inputs'!D58+'Model inputs'!E10),'Model inputs'!B38+('Model inputs'!B8-'Model inputs'!B38)*('Model inputs'!E61-1)/('Model inputs'!Q18-1))</f>
        <v>25</v>
      </c>
      <c r="F58" s="14">
        <f>IF(EXACT("Free","Enterprise"),IF(IF(IF(ISERROR('Model inputs'!F61=1),'Model inputs'!F61=1,IF('Model inputs'!F61="","",'Model inputs'!F61=1))="",FALSE,IF(ISERROR('Model inputs'!F61=1),'Model inputs'!F61=1,IF('Model inputs'!F61="","",'Model inputs'!F61=1))),IF('Model inputs'!F10="","",'Model inputs'!F10),'Model inputs'!E58+'Model inputs'!F10),'Model inputs'!B38+('Model inputs'!B8-'Model inputs'!B38)*('Model inputs'!F61-1)/('Model inputs'!Q18-1))</f>
        <v>50</v>
      </c>
      <c r="G58" s="14">
        <f>IF(EXACT("Free","Enterprise"),IF(IF(IF(ISERROR('Model inputs'!G61=1),'Model inputs'!G61=1,IF('Model inputs'!G61="","",'Model inputs'!G61=1))="",FALSE,IF(ISERROR('Model inputs'!G61=1),'Model inputs'!G61=1,IF('Model inputs'!G61="","",'Model inputs'!G61=1))),IF('Model inputs'!G10="","",'Model inputs'!G10),'Model inputs'!F58+'Model inputs'!G10),'Model inputs'!B38+('Model inputs'!B8-'Model inputs'!B38)*('Model inputs'!G61-1)/('Model inputs'!Q18-1))</f>
        <v>75</v>
      </c>
      <c r="H58" s="14">
        <f>IF(EXACT("Free","Enterprise"),IF(IF(IF(ISERROR('Model inputs'!H61=1),'Model inputs'!H61=1,IF('Model inputs'!H61="","",'Model inputs'!H61=1))="",FALSE,IF(ISERROR('Model inputs'!H61=1),'Model inputs'!H61=1,IF('Model inputs'!H61="","",'Model inputs'!H61=1))),IF('Model inputs'!H10="","",'Model inputs'!H10),'Model inputs'!G58+'Model inputs'!H10),'Model inputs'!B38+('Model inputs'!B8-'Model inputs'!B38)*('Model inputs'!H61-1)/('Model inputs'!Q18-1))</f>
        <v>100</v>
      </c>
      <c r="I58" s="14">
        <f>IF(EXACT("Free","Enterprise"),IF(IF(IF(ISERROR('Model inputs'!I61=1),'Model inputs'!I61=1,IF('Model inputs'!I61="","",'Model inputs'!I61=1))="",FALSE,IF(ISERROR('Model inputs'!I61=1),'Model inputs'!I61=1,IF('Model inputs'!I61="","",'Model inputs'!I61=1))),IF('Model inputs'!I10="","",'Model inputs'!I10),'Model inputs'!H58+'Model inputs'!I10),'Model inputs'!B38+('Model inputs'!B8-'Model inputs'!B38)*('Model inputs'!I61-1)/('Model inputs'!Q18-1))</f>
        <v>125</v>
      </c>
      <c r="J58" s="14">
        <f>IF(EXACT("Free","Enterprise"),IF(IF(IF(ISERROR('Model inputs'!J61=1),'Model inputs'!J61=1,IF('Model inputs'!J61="","",'Model inputs'!J61=1))="",FALSE,IF(ISERROR('Model inputs'!J61=1),'Model inputs'!J61=1,IF('Model inputs'!J61="","",'Model inputs'!J61=1))),IF('Model inputs'!J10="","",'Model inputs'!J10),'Model inputs'!I58+'Model inputs'!J10),'Model inputs'!B38+('Model inputs'!B8-'Model inputs'!B38)*('Model inputs'!J61-1)/('Model inputs'!Q18-1))</f>
        <v>150</v>
      </c>
      <c r="K58" s="14">
        <f>IF(EXACT("Free","Enterprise"),IF(IF(IF(ISERROR('Model inputs'!K61=1),'Model inputs'!K61=1,IF('Model inputs'!K61="","",'Model inputs'!K61=1))="",FALSE,IF(ISERROR('Model inputs'!K61=1),'Model inputs'!K61=1,IF('Model inputs'!K61="","",'Model inputs'!K61=1))),IF('Model inputs'!K10="","",'Model inputs'!K10),'Model inputs'!J58+'Model inputs'!K10),'Model inputs'!B38+('Model inputs'!B8-'Model inputs'!B38)*('Model inputs'!K61-1)/('Model inputs'!Q18-1))</f>
        <v>175</v>
      </c>
      <c r="L58" s="14">
        <f>IF(EXACT("Free","Enterprise"),IF(IF(IF(ISERROR('Model inputs'!L61=1),'Model inputs'!L61=1,IF('Model inputs'!L61="","",'Model inputs'!L61=1))="",FALSE,IF(ISERROR('Model inputs'!L61=1),'Model inputs'!L61=1,IF('Model inputs'!L61="","",'Model inputs'!L61=1))),IF('Model inputs'!L10="","",'Model inputs'!L10),'Model inputs'!K58+'Model inputs'!L10),'Model inputs'!B38+('Model inputs'!B8-'Model inputs'!B38)*('Model inputs'!L61-1)/('Model inputs'!Q18-1))</f>
        <v>200</v>
      </c>
      <c r="M58" s="14">
        <f>IF(EXACT("Free","Enterprise"),IF(IF(IF(ISERROR('Model inputs'!M61=1),'Model inputs'!M61=1,IF('Model inputs'!M61="","",'Model inputs'!M61=1))="",FALSE,IF(ISERROR('Model inputs'!M61=1),'Model inputs'!M61=1,IF('Model inputs'!M61="","",'Model inputs'!M61=1))),IF('Model inputs'!M10="","",'Model inputs'!M10),'Model inputs'!L58+'Model inputs'!M10),'Model inputs'!B38+('Model inputs'!B8-'Model inputs'!B38)*('Model inputs'!M61-1)/('Model inputs'!Q18-1))</f>
        <v>225</v>
      </c>
      <c r="N58" s="14">
        <f>IF(EXACT("Free","Enterprise"),IF(IF(IF(ISERROR('Model inputs'!N61=1),'Model inputs'!N61=1,IF('Model inputs'!N61="","",'Model inputs'!N61=1))="",FALSE,IF(ISERROR('Model inputs'!N61=1),'Model inputs'!N61=1,IF('Model inputs'!N61="","",'Model inputs'!N61=1))),IF('Model inputs'!N10="","",'Model inputs'!N10),'Model inputs'!M58+'Model inputs'!N10),'Model inputs'!B38+('Model inputs'!B8-'Model inputs'!B38)*('Model inputs'!N61-1)/('Model inputs'!Q18-1))</f>
        <v>250</v>
      </c>
      <c r="O58" s="14">
        <f>IF(EXACT("Free","Enterprise"),IF(IF(IF(ISERROR('Model inputs'!O61=1),'Model inputs'!O61=1,IF('Model inputs'!O61="","",'Model inputs'!O61=1))="",FALSE,IF(ISERROR('Model inputs'!O61=1),'Model inputs'!O61=1,IF('Model inputs'!O61="","",'Model inputs'!O61=1))),IF('Model inputs'!O10="","",'Model inputs'!O10),'Model inputs'!N58+'Model inputs'!O10),'Model inputs'!B38+('Model inputs'!B8-'Model inputs'!B38)*('Model inputs'!O61-1)/('Model inputs'!Q18-1))</f>
        <v>275</v>
      </c>
      <c r="P58" s="14">
        <f>IF(EXACT("Free","Enterprise"),IF(IF(IF(ISERROR('Model inputs'!P61=1),'Model inputs'!P61=1,IF('Model inputs'!P61="","",'Model inputs'!P61=1))="",FALSE,IF(ISERROR('Model inputs'!P61=1),'Model inputs'!P61=1,IF('Model inputs'!P61="","",'Model inputs'!P61=1))),IF('Model inputs'!P10="","",'Model inputs'!P10),'Model inputs'!O58+'Model inputs'!P10),'Model inputs'!B38+('Model inputs'!B8-'Model inputs'!B38)*('Model inputs'!P61-1)/('Model inputs'!Q18-1))</f>
        <v>300</v>
      </c>
    </row>
    <row r="59" outlineLevel="1">
      <c r="A59" t="inlineStr" s="17">
        <is>
          <t xml:space="preserve">Forecast customers &gt; Team</t>
        </is>
      </c>
      <c r="C59" t="e" s="14">
        <f>IF(EXACT("Team","Enterprise"),IF(IF(IF(ISERROR('Model inputs'!C61=1),'Model inputs'!C61=1,IF('Model inputs'!C61="","",'Model inputs'!C61=1))="",FALSE,IF(ISERROR('Model inputs'!C61=1),'Model inputs'!C61=1,IF('Model inputs'!C61="","",'Model inputs'!C61=1))),IF('Model inputs'!C10="","",'Model inputs'!C10),0+'Model inputs'!C10),'Model inputs'!B39+('Model inputs'!B9-'Model inputs'!B39)*('Model inputs'!C61-1)/('Model inputs'!Q18-1))</f>
        <v>#VALUE!</v>
      </c>
      <c r="D59" t="e" s="14">
        <f>IF(EXACT("Team","Enterprise"),IF(IF(IF(ISERROR('Model inputs'!D61=1),'Model inputs'!D61=1,IF('Model inputs'!D61="","",'Model inputs'!D61=1))="",FALSE,IF(ISERROR('Model inputs'!D61=1),'Model inputs'!D61=1,IF('Model inputs'!D61="","",'Model inputs'!D61=1))),IF('Model inputs'!D10="","",'Model inputs'!D10),'Model inputs'!C59+'Model inputs'!D10),'Model inputs'!B39+('Model inputs'!B9-'Model inputs'!B39)*('Model inputs'!D61-1)/('Model inputs'!Q18-1))</f>
        <v>#VALUE!</v>
      </c>
      <c r="E59" s="14">
        <f>IF(EXACT("Team","Enterprise"),IF(IF(IF(ISERROR('Model inputs'!E61=1),'Model inputs'!E61=1,IF('Model inputs'!E61="","",'Model inputs'!E61=1))="",FALSE,IF(ISERROR('Model inputs'!E61=1),'Model inputs'!E61=1,IF('Model inputs'!E61="","",'Model inputs'!E61=1))),IF('Model inputs'!E10="","",'Model inputs'!E10),'Model inputs'!D59+'Model inputs'!E10),'Model inputs'!B39+('Model inputs'!B9-'Model inputs'!B39)*('Model inputs'!E61-1)/('Model inputs'!Q18-1))</f>
        <v>2</v>
      </c>
      <c r="F59" s="14">
        <f>IF(EXACT("Team","Enterprise"),IF(IF(IF(ISERROR('Model inputs'!F61=1),'Model inputs'!F61=1,IF('Model inputs'!F61="","",'Model inputs'!F61=1))="",FALSE,IF(ISERROR('Model inputs'!F61=1),'Model inputs'!F61=1,IF('Model inputs'!F61="","",'Model inputs'!F61=1))),IF('Model inputs'!F10="","",'Model inputs'!F10),'Model inputs'!E59+'Model inputs'!F10),'Model inputs'!B39+('Model inputs'!B9-'Model inputs'!B39)*('Model inputs'!F61-1)/('Model inputs'!Q18-1))</f>
        <v>5.454545454545455</v>
      </c>
      <c r="G59" s="14">
        <f>IF(EXACT("Team","Enterprise"),IF(IF(IF(ISERROR('Model inputs'!G61=1),'Model inputs'!G61=1,IF('Model inputs'!G61="","",'Model inputs'!G61=1))="",FALSE,IF(ISERROR('Model inputs'!G61=1),'Model inputs'!G61=1,IF('Model inputs'!G61="","",'Model inputs'!G61=1))),IF('Model inputs'!G10="","",'Model inputs'!G10),'Model inputs'!F59+'Model inputs'!G10),'Model inputs'!B39+('Model inputs'!B9-'Model inputs'!B39)*('Model inputs'!G61-1)/('Model inputs'!Q18-1))</f>
        <v>8.90909090909091</v>
      </c>
      <c r="H59" s="14">
        <f>IF(EXACT("Team","Enterprise"),IF(IF(IF(ISERROR('Model inputs'!H61=1),'Model inputs'!H61=1,IF('Model inputs'!H61="","",'Model inputs'!H61=1))="",FALSE,IF(ISERROR('Model inputs'!H61=1),'Model inputs'!H61=1,IF('Model inputs'!H61="","",'Model inputs'!H61=1))),IF('Model inputs'!H10="","",'Model inputs'!H10),'Model inputs'!G59+'Model inputs'!H10),'Model inputs'!B39+('Model inputs'!B9-'Model inputs'!B39)*('Model inputs'!H61-1)/('Model inputs'!Q18-1))</f>
        <v>12.363636363636363</v>
      </c>
      <c r="I59" s="14">
        <f>IF(EXACT("Team","Enterprise"),IF(IF(IF(ISERROR('Model inputs'!I61=1),'Model inputs'!I61=1,IF('Model inputs'!I61="","",'Model inputs'!I61=1))="",FALSE,IF(ISERROR('Model inputs'!I61=1),'Model inputs'!I61=1,IF('Model inputs'!I61="","",'Model inputs'!I61=1))),IF('Model inputs'!I10="","",'Model inputs'!I10),'Model inputs'!H59+'Model inputs'!I10),'Model inputs'!B39+('Model inputs'!B9-'Model inputs'!B39)*('Model inputs'!I61-1)/('Model inputs'!Q18-1))</f>
        <v>15.818181818181818</v>
      </c>
      <c r="J59" s="14">
        <f>IF(EXACT("Team","Enterprise"),IF(IF(IF(ISERROR('Model inputs'!J61=1),'Model inputs'!J61=1,IF('Model inputs'!J61="","",'Model inputs'!J61=1))="",FALSE,IF(ISERROR('Model inputs'!J61=1),'Model inputs'!J61=1,IF('Model inputs'!J61="","",'Model inputs'!J61=1))),IF('Model inputs'!J10="","",'Model inputs'!J10),'Model inputs'!I59+'Model inputs'!J10),'Model inputs'!B39+('Model inputs'!B9-'Model inputs'!B39)*('Model inputs'!J61-1)/('Model inputs'!Q18-1))</f>
        <v>19.272727272727273</v>
      </c>
      <c r="K59" s="14">
        <f>IF(EXACT("Team","Enterprise"),IF(IF(IF(ISERROR('Model inputs'!K61=1),'Model inputs'!K61=1,IF('Model inputs'!K61="","",'Model inputs'!K61=1))="",FALSE,IF(ISERROR('Model inputs'!K61=1),'Model inputs'!K61=1,IF('Model inputs'!K61="","",'Model inputs'!K61=1))),IF('Model inputs'!K10="","",'Model inputs'!K10),'Model inputs'!J59+'Model inputs'!K10),'Model inputs'!B39+('Model inputs'!B9-'Model inputs'!B39)*('Model inputs'!K61-1)/('Model inputs'!Q18-1))</f>
        <v>22.727272727272727</v>
      </c>
      <c r="L59" s="14">
        <f>IF(EXACT("Team","Enterprise"),IF(IF(IF(ISERROR('Model inputs'!L61=1),'Model inputs'!L61=1,IF('Model inputs'!L61="","",'Model inputs'!L61=1))="",FALSE,IF(ISERROR('Model inputs'!L61=1),'Model inputs'!L61=1,IF('Model inputs'!L61="","",'Model inputs'!L61=1))),IF('Model inputs'!L10="","",'Model inputs'!L10),'Model inputs'!K59+'Model inputs'!L10),'Model inputs'!B39+('Model inputs'!B9-'Model inputs'!B39)*('Model inputs'!L61-1)/('Model inputs'!Q18-1))</f>
        <v>26.181818181818183</v>
      </c>
      <c r="M59" s="14">
        <f>IF(EXACT("Team","Enterprise"),IF(IF(IF(ISERROR('Model inputs'!M61=1),'Model inputs'!M61=1,IF('Model inputs'!M61="","",'Model inputs'!M61=1))="",FALSE,IF(ISERROR('Model inputs'!M61=1),'Model inputs'!M61=1,IF('Model inputs'!M61="","",'Model inputs'!M61=1))),IF('Model inputs'!M10="","",'Model inputs'!M10),'Model inputs'!L59+'Model inputs'!M10),'Model inputs'!B39+('Model inputs'!B9-'Model inputs'!B39)*('Model inputs'!M61-1)/('Model inputs'!Q18-1))</f>
        <v>29.636363636363637</v>
      </c>
      <c r="N59" s="14">
        <f>IF(EXACT("Team","Enterprise"),IF(IF(IF(ISERROR('Model inputs'!N61=1),'Model inputs'!N61=1,IF('Model inputs'!N61="","",'Model inputs'!N61=1))="",FALSE,IF(ISERROR('Model inputs'!N61=1),'Model inputs'!N61=1,IF('Model inputs'!N61="","",'Model inputs'!N61=1))),IF('Model inputs'!N10="","",'Model inputs'!N10),'Model inputs'!M59+'Model inputs'!N10),'Model inputs'!B39+('Model inputs'!B9-'Model inputs'!B39)*('Model inputs'!N61-1)/('Model inputs'!Q18-1))</f>
        <v>33.09090909090909</v>
      </c>
      <c r="O59" s="14">
        <f>IF(EXACT("Team","Enterprise"),IF(IF(IF(ISERROR('Model inputs'!O61=1),'Model inputs'!O61=1,IF('Model inputs'!O61="","",'Model inputs'!O61=1))="",FALSE,IF(ISERROR('Model inputs'!O61=1),'Model inputs'!O61=1,IF('Model inputs'!O61="","",'Model inputs'!O61=1))),IF('Model inputs'!O10="","",'Model inputs'!O10),'Model inputs'!N59+'Model inputs'!O10),'Model inputs'!B39+('Model inputs'!B9-'Model inputs'!B39)*('Model inputs'!O61-1)/('Model inputs'!Q18-1))</f>
        <v>36.54545454545455</v>
      </c>
      <c r="P59" s="14">
        <f>IF(EXACT("Team","Enterprise"),IF(IF(IF(ISERROR('Model inputs'!P61=1),'Model inputs'!P61=1,IF('Model inputs'!P61="","",'Model inputs'!P61=1))="",FALSE,IF(ISERROR('Model inputs'!P61=1),'Model inputs'!P61=1,IF('Model inputs'!P61="","",'Model inputs'!P61=1))),IF('Model inputs'!P10="","",'Model inputs'!P10),'Model inputs'!O59+'Model inputs'!P10),'Model inputs'!B39+('Model inputs'!B9-'Model inputs'!B39)*('Model inputs'!P61-1)/('Model inputs'!Q18-1))</f>
        <v>40</v>
      </c>
    </row>
    <row r="60">
      <c r="A60" t="inlineStr" s="16">
        <is>
          <t xml:space="preserve">Forecast fixed costs · Monthly revenue cost and runway</t>
        </is>
      </c>
      <c r="C60" s="8">
        <f>IF('Model inputs'!B15="","",'Model inputs'!B15)</f>
        <v>89</v>
      </c>
      <c r="D60" s="8">
        <f>IF('Model inputs'!B15="","",'Model inputs'!B15)</f>
        <v>89</v>
      </c>
      <c r="E60" s="8">
        <f>IF('Model inputs'!B15="","",'Model inputs'!B15)</f>
        <v>89</v>
      </c>
      <c r="F60" s="8">
        <f>IF('Model inputs'!B15="","",'Model inputs'!B15)</f>
        <v>89</v>
      </c>
      <c r="G60" s="8">
        <f>IF('Model inputs'!B15="","",'Model inputs'!B15)</f>
        <v>89</v>
      </c>
      <c r="H60" s="8">
        <f>IF('Model inputs'!B15="","",'Model inputs'!B15)</f>
        <v>89</v>
      </c>
      <c r="I60" s="8">
        <f>IF('Model inputs'!B15="","",'Model inputs'!B15)</f>
        <v>89</v>
      </c>
      <c r="J60" s="8">
        <f>IF('Model inputs'!B15="","",'Model inputs'!B15)</f>
        <v>89</v>
      </c>
      <c r="K60" s="8">
        <f>IF('Model inputs'!B15="","",'Model inputs'!B15)</f>
        <v>89</v>
      </c>
      <c r="L60" s="8">
        <f>IF('Model inputs'!B15="","",'Model inputs'!B15)</f>
        <v>89</v>
      </c>
      <c r="M60" s="8">
        <f>IF('Model inputs'!B15="","",'Model inputs'!B15)</f>
        <v>89</v>
      </c>
      <c r="N60" s="8">
        <f>IF('Model inputs'!B15="","",'Model inputs'!B15)</f>
        <v>89</v>
      </c>
      <c r="O60" s="8">
        <f>IF('Model inputs'!B15="","",'Model inputs'!B15)</f>
        <v>89</v>
      </c>
      <c r="P60" s="8">
        <f>IF('Model inputs'!B15="","",'Model inputs'!B15)</f>
        <v>89</v>
      </c>
    </row>
    <row r="61">
      <c r="A61" t="inlineStr" s="16">
        <is>
          <t xml:space="preserve">Forecast month · Monthly revenue cost and runway</t>
        </is>
      </c>
      <c r="C61" t="e" s="14">
        <f>DATEDIF('Model inputs'!Q21,DATE(2026,9,1),"M")+1</f>
        <v>#VALUE!</v>
      </c>
      <c r="D61" t="e" s="14">
        <f>DATEDIF('Model inputs'!Q21,DATE(2026,10,1),"M")+1</f>
        <v>#VALUE!</v>
      </c>
      <c r="E61" s="14">
        <f>DATEDIF('Model inputs'!Q21,DATE(2026,11,1),"M")+1</f>
        <v>1</v>
      </c>
      <c r="F61" s="14">
        <f>DATEDIF('Model inputs'!Q21,DATE(2026,12,1),"M")+1</f>
        <v>2</v>
      </c>
      <c r="G61" s="14">
        <f>DATEDIF('Model inputs'!Q21,DATE(2027,1,1),"M")+1</f>
        <v>3</v>
      </c>
      <c r="H61" s="14">
        <f>DATEDIF('Model inputs'!Q21,DATE(2027,2,1),"M")+1</f>
        <v>4</v>
      </c>
      <c r="I61" s="14">
        <f>DATEDIF('Model inputs'!Q21,DATE(2027,3,1),"M")+1</f>
        <v>5</v>
      </c>
      <c r="J61" s="14">
        <f>DATEDIF('Model inputs'!Q21,DATE(2027,4,1),"M")+1</f>
        <v>6</v>
      </c>
      <c r="K61" s="14">
        <f>DATEDIF('Model inputs'!Q21,DATE(2027,5,1),"M")+1</f>
        <v>7</v>
      </c>
      <c r="L61" s="14">
        <f>DATEDIF('Model inputs'!Q21,DATE(2027,6,1),"M")+1</f>
        <v>8</v>
      </c>
      <c r="M61" s="14">
        <f>DATEDIF('Model inputs'!Q21,DATE(2027,7,1),"M")+1</f>
        <v>9</v>
      </c>
      <c r="N61" s="14">
        <f>DATEDIF('Model inputs'!Q21,DATE(2027,8,1),"M")+1</f>
        <v>10</v>
      </c>
      <c r="O61" s="14">
        <f>DATEDIF('Model inputs'!Q21,DATE(2027,9,1),"M")+1</f>
        <v>11</v>
      </c>
      <c r="P61" s="14">
        <f>DATEDIF('Model inputs'!Q21,DATE(2027,10,1),"M")+1</f>
        <v>12</v>
      </c>
    </row>
    <row r="62">
      <c r="A62" t="inlineStr" s="16">
        <is>
          <t xml:space="preserve">Forecast run costs</t>
        </is>
      </c>
      <c r="C62" t="e" s="6">
        <f>SUM('Model inputs'!C63,'Model inputs'!C64,'Model inputs'!C65)</f>
        <v>#VALUE!</v>
      </c>
      <c r="D62" t="e" s="6">
        <f>SUM('Model inputs'!D63,'Model inputs'!D64,'Model inputs'!D65)</f>
        <v>#VALUE!</v>
      </c>
      <c r="E62" s="6">
        <f>SUM('Model inputs'!E63,'Model inputs'!E64,'Model inputs'!E65)</f>
        <v>114.7</v>
      </c>
      <c r="F62" s="6">
        <f>SUM('Model inputs'!F63,'Model inputs'!F64,'Model inputs'!F65)</f>
        <v>256.4545454545455</v>
      </c>
      <c r="G62" s="6">
        <f>SUM('Model inputs'!G63,'Model inputs'!G64,'Model inputs'!G65)</f>
        <v>398.20909090909095</v>
      </c>
      <c r="H62" s="6">
        <f>SUM('Model inputs'!H63,'Model inputs'!H64,'Model inputs'!H65)</f>
        <v>539.9636363636364</v>
      </c>
      <c r="I62" s="6">
        <f>SUM('Model inputs'!I63,'Model inputs'!I64,'Model inputs'!I65)</f>
        <v>681.7181818181818</v>
      </c>
      <c r="J62" s="6">
        <f>SUM('Model inputs'!J63,'Model inputs'!J64,'Model inputs'!J65)</f>
        <v>823.4727272727273</v>
      </c>
      <c r="K62" s="6">
        <f>SUM('Model inputs'!K63,'Model inputs'!K64,'Model inputs'!K65)</f>
        <v>965.2272727272727</v>
      </c>
      <c r="L62" s="6">
        <f>SUM('Model inputs'!L63,'Model inputs'!L64,'Model inputs'!L65)</f>
        <v>1106.9818181818182</v>
      </c>
      <c r="M62" s="6">
        <f>SUM('Model inputs'!M63,'Model inputs'!M64,'Model inputs'!M65)</f>
        <v>1403.7363636363636</v>
      </c>
      <c r="N62" s="6">
        <f>SUM('Model inputs'!N63,'Model inputs'!N64,'Model inputs'!N65)</f>
        <v>1545.490909090909</v>
      </c>
      <c r="O62" s="6">
        <f>SUM('Model inputs'!O63,'Model inputs'!O64,'Model inputs'!O65)</f>
        <v>1687.2454545454545</v>
      </c>
      <c r="P62" s="6">
        <f>SUM('Model inputs'!P63,'Model inputs'!P64,'Model inputs'!P65)</f>
        <v>1829</v>
      </c>
    </row>
    <row r="63" outlineLevel="1">
      <c r="A63" t="inlineStr" s="17">
        <is>
          <t xml:space="preserve">Forecast run costs &gt; Enterprise</t>
        </is>
      </c>
      <c r="C63" t="e" s="8">
        <f>'Model inputs'!C57*'Model inputs'!B12*'Model inputs'!B41</f>
        <v>#VALUE!</v>
      </c>
      <c r="D63" t="e" s="8">
        <f>'Model inputs'!D57*'Model inputs'!B12*'Model inputs'!B41</f>
        <v>#VALUE!</v>
      </c>
      <c r="E63" s="8">
        <f>'Model inputs'!E57*'Model inputs'!B12*'Model inputs'!B41</f>
        <v>0</v>
      </c>
      <c r="F63" s="8">
        <f>'Model inputs'!F57*'Model inputs'!B12*'Model inputs'!B41</f>
        <v>0</v>
      </c>
      <c r="G63" s="8">
        <f>'Model inputs'!G57*'Model inputs'!B12*'Model inputs'!B41</f>
        <v>0</v>
      </c>
      <c r="H63" s="8">
        <f>'Model inputs'!H57*'Model inputs'!B12*'Model inputs'!B41</f>
        <v>0</v>
      </c>
      <c r="I63" s="8">
        <f>'Model inputs'!I57*'Model inputs'!B12*'Model inputs'!B41</f>
        <v>0</v>
      </c>
      <c r="J63" s="8">
        <f>'Model inputs'!J57*'Model inputs'!B12*'Model inputs'!B41</f>
        <v>0</v>
      </c>
      <c r="K63" s="8">
        <f>'Model inputs'!K57*'Model inputs'!B12*'Model inputs'!B41</f>
        <v>0</v>
      </c>
      <c r="L63" s="8">
        <f>'Model inputs'!L57*'Model inputs'!B12*'Model inputs'!B41</f>
        <v>0</v>
      </c>
      <c r="M63" s="8">
        <f>'Model inputs'!M57*'Model inputs'!B12*'Model inputs'!B41</f>
        <v>155</v>
      </c>
      <c r="N63" s="8">
        <f>'Model inputs'!N57*'Model inputs'!B12*'Model inputs'!B41</f>
        <v>155</v>
      </c>
      <c r="O63" s="8">
        <f>'Model inputs'!O57*'Model inputs'!B12*'Model inputs'!B41</f>
        <v>155</v>
      </c>
      <c r="P63" s="8">
        <f>'Model inputs'!P57*'Model inputs'!B12*'Model inputs'!B41</f>
        <v>155</v>
      </c>
    </row>
    <row r="64" outlineLevel="1">
      <c r="A64" t="inlineStr" s="17">
        <is>
          <t xml:space="preserve">Forecast run costs &gt; Free</t>
        </is>
      </c>
      <c r="C64" t="e" s="8">
        <f>'Model inputs'!C58*'Model inputs'!B13*'Model inputs'!B41</f>
        <v>#VALUE!</v>
      </c>
      <c r="D64" t="e" s="8">
        <f>'Model inputs'!D58*'Model inputs'!B13*'Model inputs'!B41</f>
        <v>#VALUE!</v>
      </c>
      <c r="E64" s="8">
        <f>'Model inputs'!E58*'Model inputs'!B13*'Model inputs'!B41</f>
        <v>77.5</v>
      </c>
      <c r="F64" s="8">
        <f>'Model inputs'!F58*'Model inputs'!B13*'Model inputs'!B41</f>
        <v>155</v>
      </c>
      <c r="G64" s="8">
        <f>'Model inputs'!G58*'Model inputs'!B13*'Model inputs'!B41</f>
        <v>232.5</v>
      </c>
      <c r="H64" s="8">
        <f>'Model inputs'!H58*'Model inputs'!B13*'Model inputs'!B41</f>
        <v>310</v>
      </c>
      <c r="I64" s="8">
        <f>'Model inputs'!I58*'Model inputs'!B13*'Model inputs'!B41</f>
        <v>387.5</v>
      </c>
      <c r="J64" s="8">
        <f>'Model inputs'!J58*'Model inputs'!B13*'Model inputs'!B41</f>
        <v>465</v>
      </c>
      <c r="K64" s="8">
        <f>'Model inputs'!K58*'Model inputs'!B13*'Model inputs'!B41</f>
        <v>542.5</v>
      </c>
      <c r="L64" s="8">
        <f>'Model inputs'!L58*'Model inputs'!B13*'Model inputs'!B41</f>
        <v>620</v>
      </c>
      <c r="M64" s="8">
        <f>'Model inputs'!M58*'Model inputs'!B13*'Model inputs'!B41</f>
        <v>697.5</v>
      </c>
      <c r="N64" s="8">
        <f>'Model inputs'!N58*'Model inputs'!B13*'Model inputs'!B41</f>
        <v>775</v>
      </c>
      <c r="O64" s="8">
        <f>'Model inputs'!O58*'Model inputs'!B13*'Model inputs'!B41</f>
        <v>852.5</v>
      </c>
      <c r="P64" s="8">
        <f>'Model inputs'!P58*'Model inputs'!B13*'Model inputs'!B41</f>
        <v>930</v>
      </c>
    </row>
    <row r="65" outlineLevel="1">
      <c r="A65" t="inlineStr" s="17">
        <is>
          <t xml:space="preserve">Forecast run costs &gt; Team</t>
        </is>
      </c>
      <c r="C65" t="e" s="8">
        <f>'Model inputs'!C59*'Model inputs'!B14*'Model inputs'!B41</f>
        <v>#VALUE!</v>
      </c>
      <c r="D65" t="e" s="8">
        <f>'Model inputs'!D59*'Model inputs'!B14*'Model inputs'!B41</f>
        <v>#VALUE!</v>
      </c>
      <c r="E65" s="8">
        <f>'Model inputs'!E59*'Model inputs'!B14*'Model inputs'!B41</f>
        <v>37.2</v>
      </c>
      <c r="F65" s="8">
        <f>'Model inputs'!F59*'Model inputs'!B14*'Model inputs'!B41</f>
        <v>101.45454545454548</v>
      </c>
      <c r="G65" s="8">
        <f>'Model inputs'!G59*'Model inputs'!B14*'Model inputs'!B41</f>
        <v>165.70909090909092</v>
      </c>
      <c r="H65" s="8">
        <f>'Model inputs'!H59*'Model inputs'!B14*'Model inputs'!B41</f>
        <v>229.9636363636364</v>
      </c>
      <c r="I65" s="8">
        <f>'Model inputs'!I59*'Model inputs'!B14*'Model inputs'!B41</f>
        <v>294.2181818181818</v>
      </c>
      <c r="J65" s="8">
        <f>'Model inputs'!J59*'Model inputs'!B14*'Model inputs'!B41</f>
        <v>358.4727272727273</v>
      </c>
      <c r="K65" s="8">
        <f>'Model inputs'!K59*'Model inputs'!B14*'Model inputs'!B41</f>
        <v>422.72727272727275</v>
      </c>
      <c r="L65" s="8">
        <f>'Model inputs'!L59*'Model inputs'!B14*'Model inputs'!B41</f>
        <v>486.9818181818182</v>
      </c>
      <c r="M65" s="8">
        <f>'Model inputs'!M59*'Model inputs'!B14*'Model inputs'!B41</f>
        <v>551.2363636363636</v>
      </c>
      <c r="N65" s="8">
        <f>'Model inputs'!N59*'Model inputs'!B14*'Model inputs'!B41</f>
        <v>615.4909090909092</v>
      </c>
      <c r="O65" s="8">
        <f>'Model inputs'!O59*'Model inputs'!B14*'Model inputs'!B41</f>
        <v>679.7454545454545</v>
      </c>
      <c r="P65" s="8">
        <f>'Model inputs'!P59*'Model inputs'!B14*'Model inputs'!B41</f>
        <v>744</v>
      </c>
    </row>
    <row r="66">
      <c r="A66" t="inlineStr" s="16">
        <is>
          <t xml:space="preserve">Forecast salaries</t>
        </is>
      </c>
      <c r="C66" t="e" s="6">
        <f>SUM('Model inputs'!C67,'Model inputs'!C68,'Model inputs'!C69)</f>
        <v>#VALUE!</v>
      </c>
      <c r="D66" t="e" s="6">
        <f>SUM('Model inputs'!D67,'Model inputs'!D68,'Model inputs'!D69)</f>
        <v>#VALUE!</v>
      </c>
      <c r="E66" s="6">
        <f>SUM('Model inputs'!E67,'Model inputs'!E68,'Model inputs'!E69)</f>
        <v>0</v>
      </c>
      <c r="F66" s="6">
        <f>SUM('Model inputs'!F67,'Model inputs'!F68,'Model inputs'!F69)</f>
        <v>0</v>
      </c>
      <c r="G66" s="6">
        <f>SUM('Model inputs'!G67,'Model inputs'!G68,'Model inputs'!G69)</f>
        <v>0</v>
      </c>
      <c r="H66" s="6">
        <f>SUM('Model inputs'!H67,'Model inputs'!H68,'Model inputs'!H69)</f>
        <v>0</v>
      </c>
      <c r="I66" s="6">
        <f>SUM('Model inputs'!I67,'Model inputs'!I68,'Model inputs'!I69)</f>
        <v>0</v>
      </c>
      <c r="J66" s="6">
        <f>SUM('Model inputs'!J67,'Model inputs'!J68,'Model inputs'!J69)</f>
        <v>0</v>
      </c>
      <c r="K66" s="6">
        <f>SUM('Model inputs'!K67,'Model inputs'!K68,'Model inputs'!K69)</f>
        <v>0</v>
      </c>
      <c r="L66" s="6">
        <f>SUM('Model inputs'!L67,'Model inputs'!L68,'Model inputs'!L69)</f>
        <v>0</v>
      </c>
      <c r="M66" s="6">
        <f>SUM('Model inputs'!M67,'Model inputs'!M68,'Model inputs'!M69)</f>
        <v>0</v>
      </c>
      <c r="N66" s="6">
        <f>SUM('Model inputs'!N67,'Model inputs'!N68,'Model inputs'!N69)</f>
        <v>0</v>
      </c>
      <c r="O66" s="6">
        <f>SUM('Model inputs'!O67,'Model inputs'!O68,'Model inputs'!O69)</f>
        <v>0</v>
      </c>
      <c r="P66" s="6">
        <f>SUM('Model inputs'!P67,'Model inputs'!P68,'Model inputs'!P69)</f>
        <v>0</v>
      </c>
    </row>
    <row r="67" outlineLevel="1">
      <c r="A67" t="inlineStr" s="17">
        <is>
          <t xml:space="preserve">Forecast salaries &gt; Founder 1</t>
        </is>
      </c>
      <c r="C67" t="e" s="8">
        <f>'Model inputs'!C72*'Model inputs'!B49</f>
        <v>#VALUE!</v>
      </c>
      <c r="D67" t="e" s="8">
        <f>'Model inputs'!D72*'Model inputs'!B49</f>
        <v>#VALUE!</v>
      </c>
      <c r="E67" s="8">
        <f>'Model inputs'!E72*'Model inputs'!B49</f>
        <v>0</v>
      </c>
      <c r="F67" s="8">
        <f>'Model inputs'!F72*'Model inputs'!B49</f>
        <v>0</v>
      </c>
      <c r="G67" s="8">
        <f>'Model inputs'!G72*'Model inputs'!B49</f>
        <v>0</v>
      </c>
      <c r="H67" s="8">
        <f>'Model inputs'!H72*'Model inputs'!B49</f>
        <v>0</v>
      </c>
      <c r="I67" s="8">
        <f>'Model inputs'!I72*'Model inputs'!B49</f>
        <v>0</v>
      </c>
      <c r="J67" s="8">
        <f>'Model inputs'!J72*'Model inputs'!B49</f>
        <v>0</v>
      </c>
      <c r="K67" s="8">
        <f>'Model inputs'!K72*'Model inputs'!B49</f>
        <v>0</v>
      </c>
      <c r="L67" s="8">
        <f>'Model inputs'!L72*'Model inputs'!B49</f>
        <v>0</v>
      </c>
      <c r="M67" s="8">
        <f>'Model inputs'!M72*'Model inputs'!B49</f>
        <v>0</v>
      </c>
      <c r="N67" s="8">
        <f>'Model inputs'!N72*'Model inputs'!B49</f>
        <v>0</v>
      </c>
      <c r="O67" s="8">
        <f>'Model inputs'!O72*'Model inputs'!B49</f>
        <v>0</v>
      </c>
      <c r="P67" s="8">
        <f>'Model inputs'!P72*'Model inputs'!B49</f>
        <v>0</v>
      </c>
    </row>
    <row r="68" outlineLevel="1">
      <c r="A68" t="inlineStr" s="17">
        <is>
          <t xml:space="preserve">Forecast salaries &gt; Founder 2</t>
        </is>
      </c>
      <c r="C68" t="e" s="8">
        <f>'Model inputs'!C73*'Model inputs'!B50</f>
        <v>#VALUE!</v>
      </c>
      <c r="D68" t="e" s="8">
        <f>'Model inputs'!D73*'Model inputs'!B50</f>
        <v>#VALUE!</v>
      </c>
      <c r="E68" s="8">
        <f>'Model inputs'!E73*'Model inputs'!B50</f>
        <v>0</v>
      </c>
      <c r="F68" s="8">
        <f>'Model inputs'!F73*'Model inputs'!B50</f>
        <v>0</v>
      </c>
      <c r="G68" s="8">
        <f>'Model inputs'!G73*'Model inputs'!B50</f>
        <v>0</v>
      </c>
      <c r="H68" s="8">
        <f>'Model inputs'!H73*'Model inputs'!B50</f>
        <v>0</v>
      </c>
      <c r="I68" s="8">
        <f>'Model inputs'!I73*'Model inputs'!B50</f>
        <v>0</v>
      </c>
      <c r="J68" s="8">
        <f>'Model inputs'!J73*'Model inputs'!B50</f>
        <v>0</v>
      </c>
      <c r="K68" s="8">
        <f>'Model inputs'!K73*'Model inputs'!B50</f>
        <v>0</v>
      </c>
      <c r="L68" s="8">
        <f>'Model inputs'!L73*'Model inputs'!B50</f>
        <v>0</v>
      </c>
      <c r="M68" s="8">
        <f>'Model inputs'!M73*'Model inputs'!B50</f>
        <v>0</v>
      </c>
      <c r="N68" s="8">
        <f>'Model inputs'!N73*'Model inputs'!B50</f>
        <v>0</v>
      </c>
      <c r="O68" s="8">
        <f>'Model inputs'!O73*'Model inputs'!B50</f>
        <v>0</v>
      </c>
      <c r="P68" s="8">
        <f>'Model inputs'!P73*'Model inputs'!B50</f>
        <v>0</v>
      </c>
    </row>
    <row r="69" outlineLevel="1">
      <c r="A69" t="inlineStr" s="17">
        <is>
          <t xml:space="preserve">Forecast salaries &gt; Planned engineer</t>
        </is>
      </c>
      <c r="C69" t="e" s="8">
        <f>'Model inputs'!C74*'Model inputs'!B51</f>
        <v>#VALUE!</v>
      </c>
      <c r="D69" t="e" s="8">
        <f>'Model inputs'!D74*'Model inputs'!B51</f>
        <v>#VALUE!</v>
      </c>
      <c r="E69" s="8">
        <f>'Model inputs'!E74*'Model inputs'!B51</f>
        <v>0</v>
      </c>
      <c r="F69" s="8">
        <f>'Model inputs'!F74*'Model inputs'!B51</f>
        <v>0</v>
      </c>
      <c r="G69" s="8">
        <f>'Model inputs'!G74*'Model inputs'!B51</f>
        <v>0</v>
      </c>
      <c r="H69" s="8">
        <f>'Model inputs'!H74*'Model inputs'!B51</f>
        <v>0</v>
      </c>
      <c r="I69" s="8">
        <f>'Model inputs'!I74*'Model inputs'!B51</f>
        <v>0</v>
      </c>
      <c r="J69" s="8">
        <f>'Model inputs'!J74*'Model inputs'!B51</f>
        <v>0</v>
      </c>
      <c r="K69" s="8">
        <f>'Model inputs'!K74*'Model inputs'!B51</f>
        <v>0</v>
      </c>
      <c r="L69" s="8">
        <f>'Model inputs'!L74*'Model inputs'!B51</f>
        <v>0</v>
      </c>
      <c r="M69" s="8">
        <f>'Model inputs'!M74*'Model inputs'!B51</f>
        <v>0</v>
      </c>
      <c r="N69" s="8">
        <f>'Model inputs'!N74*'Model inputs'!B51</f>
        <v>0</v>
      </c>
      <c r="O69" s="8">
        <f>'Model inputs'!O74*'Model inputs'!B51</f>
        <v>0</v>
      </c>
      <c r="P69" s="8">
        <f>'Model inputs'!P74*'Model inputs'!B51</f>
        <v>0</v>
      </c>
    </row>
    <row r="70">
      <c r="A70" t="inlineStr" s="16">
        <is>
          <t xml:space="preserve">Net forecast profit · Monthly revenue cost and runway</t>
        </is>
      </c>
      <c r="C70" t="e" s="8">
        <f>'Model inputs'!C24-'Model inputs'!C42</f>
        <v>#VALUE!</v>
      </c>
      <c r="D70" t="e" s="8">
        <f>'Model inputs'!D24-'Model inputs'!D42</f>
        <v>#VALUE!</v>
      </c>
      <c r="E70" s="8">
        <f>'Model inputs'!E24-'Model inputs'!E42</f>
        <v>-45.69999999999999</v>
      </c>
      <c r="F70" s="8">
        <f>'Model inputs'!F24-'Model inputs'!F42</f>
        <v>85.45454545454544</v>
      </c>
      <c r="G70" s="8">
        <f>'Model inputs'!G24-'Model inputs'!G42</f>
        <v>216.60909090909092</v>
      </c>
      <c r="H70" s="8">
        <f>'Model inputs'!H24-'Model inputs'!H42</f>
        <v>347.76363636363635</v>
      </c>
      <c r="I70" s="8">
        <f>'Model inputs'!I24-'Model inputs'!I42</f>
        <v>478.9181818181819</v>
      </c>
      <c r="J70" s="8">
        <f>'Model inputs'!J24-'Model inputs'!J42</f>
        <v>610.0727272727272</v>
      </c>
      <c r="K70" s="8">
        <f>'Model inputs'!K24-'Model inputs'!K42</f>
        <v>741.2272727272727</v>
      </c>
      <c r="L70" s="8">
        <f>'Model inputs'!L24-'Model inputs'!L42</f>
        <v>872.3818181818183</v>
      </c>
      <c r="M70" s="8">
        <f>'Model inputs'!M24-'Model inputs'!M42</f>
        <v>2348.5363636363636</v>
      </c>
      <c r="N70" s="8">
        <f>'Model inputs'!N24-'Model inputs'!N42</f>
        <v>2479.690909090909</v>
      </c>
      <c r="O70" s="8">
        <f>'Model inputs'!O24-'Model inputs'!O42</f>
        <v>2610.8454545454542</v>
      </c>
      <c r="P70" s="8">
        <f>'Model inputs'!P24-'Model inputs'!P42</f>
        <v>2742</v>
      </c>
    </row>
    <row r="71">
      <c r="A71" t="inlineStr" s="16">
        <is>
          <t xml:space="preserve">Forecast headcount</t>
        </is>
      </c>
      <c r="C71" t="e" s="12">
        <f>SUM('Model inputs'!C72,'Model inputs'!C73,'Model inputs'!C74)</f>
        <v>#VALUE!</v>
      </c>
      <c r="D71" t="e" s="12">
        <f>SUM('Model inputs'!D72,'Model inputs'!D73,'Model inputs'!D74)</f>
        <v>#VALUE!</v>
      </c>
      <c r="E71" s="12">
        <f>SUM('Model inputs'!E72,'Model inputs'!E73,'Model inputs'!E74)</f>
        <v>2</v>
      </c>
      <c r="F71" s="12">
        <f>SUM('Model inputs'!F72,'Model inputs'!F73,'Model inputs'!F74)</f>
        <v>2</v>
      </c>
      <c r="G71" s="12">
        <f>SUM('Model inputs'!G72,'Model inputs'!G73,'Model inputs'!G74)</f>
        <v>2</v>
      </c>
      <c r="H71" s="12">
        <f>SUM('Model inputs'!H72,'Model inputs'!H73,'Model inputs'!H74)</f>
        <v>2</v>
      </c>
      <c r="I71" s="12">
        <f>SUM('Model inputs'!I72,'Model inputs'!I73,'Model inputs'!I74)</f>
        <v>2</v>
      </c>
      <c r="J71" s="12">
        <f>SUM('Model inputs'!J72,'Model inputs'!J73,'Model inputs'!J74)</f>
        <v>2</v>
      </c>
      <c r="K71" s="12">
        <f>SUM('Model inputs'!K72,'Model inputs'!K73,'Model inputs'!K74)</f>
        <v>2</v>
      </c>
      <c r="L71" s="12">
        <f>SUM('Model inputs'!L72,'Model inputs'!L73,'Model inputs'!L74)</f>
        <v>2</v>
      </c>
      <c r="M71" s="12">
        <f>SUM('Model inputs'!M72,'Model inputs'!M73,'Model inputs'!M74)</f>
        <v>2</v>
      </c>
      <c r="N71" s="12">
        <f>SUM('Model inputs'!N72,'Model inputs'!N73,'Model inputs'!N74)</f>
        <v>2</v>
      </c>
      <c r="O71" s="12">
        <f>SUM('Model inputs'!O72,'Model inputs'!O73,'Model inputs'!O74)</f>
        <v>2</v>
      </c>
      <c r="P71" s="12">
        <f>SUM('Model inputs'!P72,'Model inputs'!P73,'Model inputs'!P74)</f>
        <v>2</v>
      </c>
    </row>
    <row r="72" outlineLevel="1">
      <c r="A72" t="inlineStr" s="17">
        <is>
          <t xml:space="preserve">Forecast headcount &gt; Founder 1</t>
        </is>
      </c>
      <c r="C72" t="e" s="14">
        <f>'Model inputs'!B45*IF(IF(IF(IF(ISERROR('Model inputs'!C61&gt;='Model inputs'!B53),'Model inputs'!C61&gt;='Model inputs'!B53,IF(OR('Model inputs'!C61="",'Model inputs'!B53=""),"",'Model inputs'!C61&gt;='Model inputs'!B53))="",FALSE,IF(ISERROR('Model inputs'!C61&gt;='Model inputs'!B53),'Model inputs'!C61&gt;='Model inputs'!B53,IF(OR('Model inputs'!C61="",'Model inputs'!B53=""),"",'Model inputs'!C61&gt;='Model inputs'!B53))),1,0)="",0,IF(IF(IF(ISERROR('Model inputs'!C61&gt;='Model inputs'!B53),'Model inputs'!C61&gt;='Model inputs'!B53,IF(OR('Model inputs'!C61="",'Model inputs'!B53=""),"",'Model inputs'!C61&gt;='Model inputs'!B53))="",FALSE,IF(ISERROR('Model inputs'!C61&gt;='Model inputs'!B53),'Model inputs'!C61&gt;='Model inputs'!B53,IF(OR('Model inputs'!C61="",'Model inputs'!B53=""),"",'Model inputs'!C61&gt;='Model inputs'!B53))),1,0))</f>
        <v>#VALUE!</v>
      </c>
      <c r="D72" t="e" s="14">
        <f>'Model inputs'!B45*IF(IF(IF(IF(ISERROR('Model inputs'!D61&gt;='Model inputs'!B53),'Model inputs'!D61&gt;='Model inputs'!B53,IF(OR('Model inputs'!D61="",'Model inputs'!B53=""),"",'Model inputs'!D61&gt;='Model inputs'!B53))="",FALSE,IF(ISERROR('Model inputs'!D61&gt;='Model inputs'!B53),'Model inputs'!D61&gt;='Model inputs'!B53,IF(OR('Model inputs'!D61="",'Model inputs'!B53=""),"",'Model inputs'!D61&gt;='Model inputs'!B53))),1,0)="",0,IF(IF(IF(ISERROR('Model inputs'!D61&gt;='Model inputs'!B53),'Model inputs'!D61&gt;='Model inputs'!B53,IF(OR('Model inputs'!D61="",'Model inputs'!B53=""),"",'Model inputs'!D61&gt;='Model inputs'!B53))="",FALSE,IF(ISERROR('Model inputs'!D61&gt;='Model inputs'!B53),'Model inputs'!D61&gt;='Model inputs'!B53,IF(OR('Model inputs'!D61="",'Model inputs'!B53=""),"",'Model inputs'!D61&gt;='Model inputs'!B53))),1,0))</f>
        <v>#VALUE!</v>
      </c>
      <c r="E72" s="14">
        <f>'Model inputs'!B45*IF(IF(IF(IF(ISERROR('Model inputs'!E61&gt;='Model inputs'!B53),'Model inputs'!E61&gt;='Model inputs'!B53,IF(OR('Model inputs'!E61="",'Model inputs'!B53=""),"",'Model inputs'!E61&gt;='Model inputs'!B53))="",FALSE,IF(ISERROR('Model inputs'!E61&gt;='Model inputs'!B53),'Model inputs'!E61&gt;='Model inputs'!B53,IF(OR('Model inputs'!E61="",'Model inputs'!B53=""),"",'Model inputs'!E61&gt;='Model inputs'!B53))),1,0)="",0,IF(IF(IF(ISERROR('Model inputs'!E61&gt;='Model inputs'!B53),'Model inputs'!E61&gt;='Model inputs'!B53,IF(OR('Model inputs'!E61="",'Model inputs'!B53=""),"",'Model inputs'!E61&gt;='Model inputs'!B53))="",FALSE,IF(ISERROR('Model inputs'!E61&gt;='Model inputs'!B53),'Model inputs'!E61&gt;='Model inputs'!B53,IF(OR('Model inputs'!E61="",'Model inputs'!B53=""),"",'Model inputs'!E61&gt;='Model inputs'!B53))),1,0))</f>
        <v>1</v>
      </c>
      <c r="F72" s="14">
        <f>'Model inputs'!B45*IF(IF(IF(IF(ISERROR('Model inputs'!F61&gt;='Model inputs'!B53),'Model inputs'!F61&gt;='Model inputs'!B53,IF(OR('Model inputs'!F61="",'Model inputs'!B53=""),"",'Model inputs'!F61&gt;='Model inputs'!B53))="",FALSE,IF(ISERROR('Model inputs'!F61&gt;='Model inputs'!B53),'Model inputs'!F61&gt;='Model inputs'!B53,IF(OR('Model inputs'!F61="",'Model inputs'!B53=""),"",'Model inputs'!F61&gt;='Model inputs'!B53))),1,0)="",0,IF(IF(IF(ISERROR('Model inputs'!F61&gt;='Model inputs'!B53),'Model inputs'!F61&gt;='Model inputs'!B53,IF(OR('Model inputs'!F61="",'Model inputs'!B53=""),"",'Model inputs'!F61&gt;='Model inputs'!B53))="",FALSE,IF(ISERROR('Model inputs'!F61&gt;='Model inputs'!B53),'Model inputs'!F61&gt;='Model inputs'!B53,IF(OR('Model inputs'!F61="",'Model inputs'!B53=""),"",'Model inputs'!F61&gt;='Model inputs'!B53))),1,0))</f>
        <v>1</v>
      </c>
      <c r="G72" s="14">
        <f>'Model inputs'!B45*IF(IF(IF(IF(ISERROR('Model inputs'!G61&gt;='Model inputs'!B53),'Model inputs'!G61&gt;='Model inputs'!B53,IF(OR('Model inputs'!G61="",'Model inputs'!B53=""),"",'Model inputs'!G61&gt;='Model inputs'!B53))="",FALSE,IF(ISERROR('Model inputs'!G61&gt;='Model inputs'!B53),'Model inputs'!G61&gt;='Model inputs'!B53,IF(OR('Model inputs'!G61="",'Model inputs'!B53=""),"",'Model inputs'!G61&gt;='Model inputs'!B53))),1,0)="",0,IF(IF(IF(ISERROR('Model inputs'!G61&gt;='Model inputs'!B53),'Model inputs'!G61&gt;='Model inputs'!B53,IF(OR('Model inputs'!G61="",'Model inputs'!B53=""),"",'Model inputs'!G61&gt;='Model inputs'!B53))="",FALSE,IF(ISERROR('Model inputs'!G61&gt;='Model inputs'!B53),'Model inputs'!G61&gt;='Model inputs'!B53,IF(OR('Model inputs'!G61="",'Model inputs'!B53=""),"",'Model inputs'!G61&gt;='Model inputs'!B53))),1,0))</f>
        <v>1</v>
      </c>
      <c r="H72" s="14">
        <f>'Model inputs'!B45*IF(IF(IF(IF(ISERROR('Model inputs'!H61&gt;='Model inputs'!B53),'Model inputs'!H61&gt;='Model inputs'!B53,IF(OR('Model inputs'!H61="",'Model inputs'!B53=""),"",'Model inputs'!H61&gt;='Model inputs'!B53))="",FALSE,IF(ISERROR('Model inputs'!H61&gt;='Model inputs'!B53),'Model inputs'!H61&gt;='Model inputs'!B53,IF(OR('Model inputs'!H61="",'Model inputs'!B53=""),"",'Model inputs'!H61&gt;='Model inputs'!B53))),1,0)="",0,IF(IF(IF(ISERROR('Model inputs'!H61&gt;='Model inputs'!B53),'Model inputs'!H61&gt;='Model inputs'!B53,IF(OR('Model inputs'!H61="",'Model inputs'!B53=""),"",'Model inputs'!H61&gt;='Model inputs'!B53))="",FALSE,IF(ISERROR('Model inputs'!H61&gt;='Model inputs'!B53),'Model inputs'!H61&gt;='Model inputs'!B53,IF(OR('Model inputs'!H61="",'Model inputs'!B53=""),"",'Model inputs'!H61&gt;='Model inputs'!B53))),1,0))</f>
        <v>1</v>
      </c>
      <c r="I72" s="14">
        <f>'Model inputs'!B45*IF(IF(IF(IF(ISERROR('Model inputs'!I61&gt;='Model inputs'!B53),'Model inputs'!I61&gt;='Model inputs'!B53,IF(OR('Model inputs'!I61="",'Model inputs'!B53=""),"",'Model inputs'!I61&gt;='Model inputs'!B53))="",FALSE,IF(ISERROR('Model inputs'!I61&gt;='Model inputs'!B53),'Model inputs'!I61&gt;='Model inputs'!B53,IF(OR('Model inputs'!I61="",'Model inputs'!B53=""),"",'Model inputs'!I61&gt;='Model inputs'!B53))),1,0)="",0,IF(IF(IF(ISERROR('Model inputs'!I61&gt;='Model inputs'!B53),'Model inputs'!I61&gt;='Model inputs'!B53,IF(OR('Model inputs'!I61="",'Model inputs'!B53=""),"",'Model inputs'!I61&gt;='Model inputs'!B53))="",FALSE,IF(ISERROR('Model inputs'!I61&gt;='Model inputs'!B53),'Model inputs'!I61&gt;='Model inputs'!B53,IF(OR('Model inputs'!I61="",'Model inputs'!B53=""),"",'Model inputs'!I61&gt;='Model inputs'!B53))),1,0))</f>
        <v>1</v>
      </c>
      <c r="J72" s="14">
        <f>'Model inputs'!B45*IF(IF(IF(IF(ISERROR('Model inputs'!J61&gt;='Model inputs'!B53),'Model inputs'!J61&gt;='Model inputs'!B53,IF(OR('Model inputs'!J61="",'Model inputs'!B53=""),"",'Model inputs'!J61&gt;='Model inputs'!B53))="",FALSE,IF(ISERROR('Model inputs'!J61&gt;='Model inputs'!B53),'Model inputs'!J61&gt;='Model inputs'!B53,IF(OR('Model inputs'!J61="",'Model inputs'!B53=""),"",'Model inputs'!J61&gt;='Model inputs'!B53))),1,0)="",0,IF(IF(IF(ISERROR('Model inputs'!J61&gt;='Model inputs'!B53),'Model inputs'!J61&gt;='Model inputs'!B53,IF(OR('Model inputs'!J61="",'Model inputs'!B53=""),"",'Model inputs'!J61&gt;='Model inputs'!B53))="",FALSE,IF(ISERROR('Model inputs'!J61&gt;='Model inputs'!B53),'Model inputs'!J61&gt;='Model inputs'!B53,IF(OR('Model inputs'!J61="",'Model inputs'!B53=""),"",'Model inputs'!J61&gt;='Model inputs'!B53))),1,0))</f>
        <v>1</v>
      </c>
      <c r="K72" s="14">
        <f>'Model inputs'!B45*IF(IF(IF(IF(ISERROR('Model inputs'!K61&gt;='Model inputs'!B53),'Model inputs'!K61&gt;='Model inputs'!B53,IF(OR('Model inputs'!K61="",'Model inputs'!B53=""),"",'Model inputs'!K61&gt;='Model inputs'!B53))="",FALSE,IF(ISERROR('Model inputs'!K61&gt;='Model inputs'!B53),'Model inputs'!K61&gt;='Model inputs'!B53,IF(OR('Model inputs'!K61="",'Model inputs'!B53=""),"",'Model inputs'!K61&gt;='Model inputs'!B53))),1,0)="",0,IF(IF(IF(ISERROR('Model inputs'!K61&gt;='Model inputs'!B53),'Model inputs'!K61&gt;='Model inputs'!B53,IF(OR('Model inputs'!K61="",'Model inputs'!B53=""),"",'Model inputs'!K61&gt;='Model inputs'!B53))="",FALSE,IF(ISERROR('Model inputs'!K61&gt;='Model inputs'!B53),'Model inputs'!K61&gt;='Model inputs'!B53,IF(OR('Model inputs'!K61="",'Model inputs'!B53=""),"",'Model inputs'!K61&gt;='Model inputs'!B53))),1,0))</f>
        <v>1</v>
      </c>
      <c r="L72" s="14">
        <f>'Model inputs'!B45*IF(IF(IF(IF(ISERROR('Model inputs'!L61&gt;='Model inputs'!B53),'Model inputs'!L61&gt;='Model inputs'!B53,IF(OR('Model inputs'!L61="",'Model inputs'!B53=""),"",'Model inputs'!L61&gt;='Model inputs'!B53))="",FALSE,IF(ISERROR('Model inputs'!L61&gt;='Model inputs'!B53),'Model inputs'!L61&gt;='Model inputs'!B53,IF(OR('Model inputs'!L61="",'Model inputs'!B53=""),"",'Model inputs'!L61&gt;='Model inputs'!B53))),1,0)="",0,IF(IF(IF(ISERROR('Model inputs'!L61&gt;='Model inputs'!B53),'Model inputs'!L61&gt;='Model inputs'!B53,IF(OR('Model inputs'!L61="",'Model inputs'!B53=""),"",'Model inputs'!L61&gt;='Model inputs'!B53))="",FALSE,IF(ISERROR('Model inputs'!L61&gt;='Model inputs'!B53),'Model inputs'!L61&gt;='Model inputs'!B53,IF(OR('Model inputs'!L61="",'Model inputs'!B53=""),"",'Model inputs'!L61&gt;='Model inputs'!B53))),1,0))</f>
        <v>1</v>
      </c>
      <c r="M72" s="14">
        <f>'Model inputs'!B45*IF(IF(IF(IF(ISERROR('Model inputs'!M61&gt;='Model inputs'!B53),'Model inputs'!M61&gt;='Model inputs'!B53,IF(OR('Model inputs'!M61="",'Model inputs'!B53=""),"",'Model inputs'!M61&gt;='Model inputs'!B53))="",FALSE,IF(ISERROR('Model inputs'!M61&gt;='Model inputs'!B53),'Model inputs'!M61&gt;='Model inputs'!B53,IF(OR('Model inputs'!M61="",'Model inputs'!B53=""),"",'Model inputs'!M61&gt;='Model inputs'!B53))),1,0)="",0,IF(IF(IF(ISERROR('Model inputs'!M61&gt;='Model inputs'!B53),'Model inputs'!M61&gt;='Model inputs'!B53,IF(OR('Model inputs'!M61="",'Model inputs'!B53=""),"",'Model inputs'!M61&gt;='Model inputs'!B53))="",FALSE,IF(ISERROR('Model inputs'!M61&gt;='Model inputs'!B53),'Model inputs'!M61&gt;='Model inputs'!B53,IF(OR('Model inputs'!M61="",'Model inputs'!B53=""),"",'Model inputs'!M61&gt;='Model inputs'!B53))),1,0))</f>
        <v>1</v>
      </c>
      <c r="N72" s="14">
        <f>'Model inputs'!B45*IF(IF(IF(IF(ISERROR('Model inputs'!N61&gt;='Model inputs'!B53),'Model inputs'!N61&gt;='Model inputs'!B53,IF(OR('Model inputs'!N61="",'Model inputs'!B53=""),"",'Model inputs'!N61&gt;='Model inputs'!B53))="",FALSE,IF(ISERROR('Model inputs'!N61&gt;='Model inputs'!B53),'Model inputs'!N61&gt;='Model inputs'!B53,IF(OR('Model inputs'!N61="",'Model inputs'!B53=""),"",'Model inputs'!N61&gt;='Model inputs'!B53))),1,0)="",0,IF(IF(IF(ISERROR('Model inputs'!N61&gt;='Model inputs'!B53),'Model inputs'!N61&gt;='Model inputs'!B53,IF(OR('Model inputs'!N61="",'Model inputs'!B53=""),"",'Model inputs'!N61&gt;='Model inputs'!B53))="",FALSE,IF(ISERROR('Model inputs'!N61&gt;='Model inputs'!B53),'Model inputs'!N61&gt;='Model inputs'!B53,IF(OR('Model inputs'!N61="",'Model inputs'!B53=""),"",'Model inputs'!N61&gt;='Model inputs'!B53))),1,0))</f>
        <v>1</v>
      </c>
      <c r="O72" s="14">
        <f>'Model inputs'!B45*IF(IF(IF(IF(ISERROR('Model inputs'!O61&gt;='Model inputs'!B53),'Model inputs'!O61&gt;='Model inputs'!B53,IF(OR('Model inputs'!O61="",'Model inputs'!B53=""),"",'Model inputs'!O61&gt;='Model inputs'!B53))="",FALSE,IF(ISERROR('Model inputs'!O61&gt;='Model inputs'!B53),'Model inputs'!O61&gt;='Model inputs'!B53,IF(OR('Model inputs'!O61="",'Model inputs'!B53=""),"",'Model inputs'!O61&gt;='Model inputs'!B53))),1,0)="",0,IF(IF(IF(ISERROR('Model inputs'!O61&gt;='Model inputs'!B53),'Model inputs'!O61&gt;='Model inputs'!B53,IF(OR('Model inputs'!O61="",'Model inputs'!B53=""),"",'Model inputs'!O61&gt;='Model inputs'!B53))="",FALSE,IF(ISERROR('Model inputs'!O61&gt;='Model inputs'!B53),'Model inputs'!O61&gt;='Model inputs'!B53,IF(OR('Model inputs'!O61="",'Model inputs'!B53=""),"",'Model inputs'!O61&gt;='Model inputs'!B53))),1,0))</f>
        <v>1</v>
      </c>
      <c r="P72" s="14">
        <f>'Model inputs'!B45*IF(IF(IF(IF(ISERROR('Model inputs'!P61&gt;='Model inputs'!B53),'Model inputs'!P61&gt;='Model inputs'!B53,IF(OR('Model inputs'!P61="",'Model inputs'!B53=""),"",'Model inputs'!P61&gt;='Model inputs'!B53))="",FALSE,IF(ISERROR('Model inputs'!P61&gt;='Model inputs'!B53),'Model inputs'!P61&gt;='Model inputs'!B53,IF(OR('Model inputs'!P61="",'Model inputs'!B53=""),"",'Model inputs'!P61&gt;='Model inputs'!B53))),1,0)="",0,IF(IF(IF(ISERROR('Model inputs'!P61&gt;='Model inputs'!B53),'Model inputs'!P61&gt;='Model inputs'!B53,IF(OR('Model inputs'!P61="",'Model inputs'!B53=""),"",'Model inputs'!P61&gt;='Model inputs'!B53))="",FALSE,IF(ISERROR('Model inputs'!P61&gt;='Model inputs'!B53),'Model inputs'!P61&gt;='Model inputs'!B53,IF(OR('Model inputs'!P61="",'Model inputs'!B53=""),"",'Model inputs'!P61&gt;='Model inputs'!B53))),1,0))</f>
        <v>1</v>
      </c>
    </row>
    <row r="73" outlineLevel="1">
      <c r="A73" t="inlineStr" s="17">
        <is>
          <t xml:space="preserve">Forecast headcount &gt; Founder 2</t>
        </is>
      </c>
      <c r="C73" t="e" s="14">
        <f>'Model inputs'!B46*IF(IF(IF(IF(ISERROR('Model inputs'!C61&gt;='Model inputs'!B54),'Model inputs'!C61&gt;='Model inputs'!B54,IF(OR('Model inputs'!C61="",'Model inputs'!B54=""),"",'Model inputs'!C61&gt;='Model inputs'!B54))="",FALSE,IF(ISERROR('Model inputs'!C61&gt;='Model inputs'!B54),'Model inputs'!C61&gt;='Model inputs'!B54,IF(OR('Model inputs'!C61="",'Model inputs'!B54=""),"",'Model inputs'!C61&gt;='Model inputs'!B54))),1,0)="",0,IF(IF(IF(ISERROR('Model inputs'!C61&gt;='Model inputs'!B54),'Model inputs'!C61&gt;='Model inputs'!B54,IF(OR('Model inputs'!C61="",'Model inputs'!B54=""),"",'Model inputs'!C61&gt;='Model inputs'!B54))="",FALSE,IF(ISERROR('Model inputs'!C61&gt;='Model inputs'!B54),'Model inputs'!C61&gt;='Model inputs'!B54,IF(OR('Model inputs'!C61="",'Model inputs'!B54=""),"",'Model inputs'!C61&gt;='Model inputs'!B54))),1,0))</f>
        <v>#VALUE!</v>
      </c>
      <c r="D73" t="e" s="14">
        <f>'Model inputs'!B46*IF(IF(IF(IF(ISERROR('Model inputs'!D61&gt;='Model inputs'!B54),'Model inputs'!D61&gt;='Model inputs'!B54,IF(OR('Model inputs'!D61="",'Model inputs'!B54=""),"",'Model inputs'!D61&gt;='Model inputs'!B54))="",FALSE,IF(ISERROR('Model inputs'!D61&gt;='Model inputs'!B54),'Model inputs'!D61&gt;='Model inputs'!B54,IF(OR('Model inputs'!D61="",'Model inputs'!B54=""),"",'Model inputs'!D61&gt;='Model inputs'!B54))),1,0)="",0,IF(IF(IF(ISERROR('Model inputs'!D61&gt;='Model inputs'!B54),'Model inputs'!D61&gt;='Model inputs'!B54,IF(OR('Model inputs'!D61="",'Model inputs'!B54=""),"",'Model inputs'!D61&gt;='Model inputs'!B54))="",FALSE,IF(ISERROR('Model inputs'!D61&gt;='Model inputs'!B54),'Model inputs'!D61&gt;='Model inputs'!B54,IF(OR('Model inputs'!D61="",'Model inputs'!B54=""),"",'Model inputs'!D61&gt;='Model inputs'!B54))),1,0))</f>
        <v>#VALUE!</v>
      </c>
      <c r="E73" s="14">
        <f>'Model inputs'!B46*IF(IF(IF(IF(ISERROR('Model inputs'!E61&gt;='Model inputs'!B54),'Model inputs'!E61&gt;='Model inputs'!B54,IF(OR('Model inputs'!E61="",'Model inputs'!B54=""),"",'Model inputs'!E61&gt;='Model inputs'!B54))="",FALSE,IF(ISERROR('Model inputs'!E61&gt;='Model inputs'!B54),'Model inputs'!E61&gt;='Model inputs'!B54,IF(OR('Model inputs'!E61="",'Model inputs'!B54=""),"",'Model inputs'!E61&gt;='Model inputs'!B54))),1,0)="",0,IF(IF(IF(ISERROR('Model inputs'!E61&gt;='Model inputs'!B54),'Model inputs'!E61&gt;='Model inputs'!B54,IF(OR('Model inputs'!E61="",'Model inputs'!B54=""),"",'Model inputs'!E61&gt;='Model inputs'!B54))="",FALSE,IF(ISERROR('Model inputs'!E61&gt;='Model inputs'!B54),'Model inputs'!E61&gt;='Model inputs'!B54,IF(OR('Model inputs'!E61="",'Model inputs'!B54=""),"",'Model inputs'!E61&gt;='Model inputs'!B54))),1,0))</f>
        <v>1</v>
      </c>
      <c r="F73" s="14">
        <f>'Model inputs'!B46*IF(IF(IF(IF(ISERROR('Model inputs'!F61&gt;='Model inputs'!B54),'Model inputs'!F61&gt;='Model inputs'!B54,IF(OR('Model inputs'!F61="",'Model inputs'!B54=""),"",'Model inputs'!F61&gt;='Model inputs'!B54))="",FALSE,IF(ISERROR('Model inputs'!F61&gt;='Model inputs'!B54),'Model inputs'!F61&gt;='Model inputs'!B54,IF(OR('Model inputs'!F61="",'Model inputs'!B54=""),"",'Model inputs'!F61&gt;='Model inputs'!B54))),1,0)="",0,IF(IF(IF(ISERROR('Model inputs'!F61&gt;='Model inputs'!B54),'Model inputs'!F61&gt;='Model inputs'!B54,IF(OR('Model inputs'!F61="",'Model inputs'!B54=""),"",'Model inputs'!F61&gt;='Model inputs'!B54))="",FALSE,IF(ISERROR('Model inputs'!F61&gt;='Model inputs'!B54),'Model inputs'!F61&gt;='Model inputs'!B54,IF(OR('Model inputs'!F61="",'Model inputs'!B54=""),"",'Model inputs'!F61&gt;='Model inputs'!B54))),1,0))</f>
        <v>1</v>
      </c>
      <c r="G73" s="14">
        <f>'Model inputs'!B46*IF(IF(IF(IF(ISERROR('Model inputs'!G61&gt;='Model inputs'!B54),'Model inputs'!G61&gt;='Model inputs'!B54,IF(OR('Model inputs'!G61="",'Model inputs'!B54=""),"",'Model inputs'!G61&gt;='Model inputs'!B54))="",FALSE,IF(ISERROR('Model inputs'!G61&gt;='Model inputs'!B54),'Model inputs'!G61&gt;='Model inputs'!B54,IF(OR('Model inputs'!G61="",'Model inputs'!B54=""),"",'Model inputs'!G61&gt;='Model inputs'!B54))),1,0)="",0,IF(IF(IF(ISERROR('Model inputs'!G61&gt;='Model inputs'!B54),'Model inputs'!G61&gt;='Model inputs'!B54,IF(OR('Model inputs'!G61="",'Model inputs'!B54=""),"",'Model inputs'!G61&gt;='Model inputs'!B54))="",FALSE,IF(ISERROR('Model inputs'!G61&gt;='Model inputs'!B54),'Model inputs'!G61&gt;='Model inputs'!B54,IF(OR('Model inputs'!G61="",'Model inputs'!B54=""),"",'Model inputs'!G61&gt;='Model inputs'!B54))),1,0))</f>
        <v>1</v>
      </c>
      <c r="H73" s="14">
        <f>'Model inputs'!B46*IF(IF(IF(IF(ISERROR('Model inputs'!H61&gt;='Model inputs'!B54),'Model inputs'!H61&gt;='Model inputs'!B54,IF(OR('Model inputs'!H61="",'Model inputs'!B54=""),"",'Model inputs'!H61&gt;='Model inputs'!B54))="",FALSE,IF(ISERROR('Model inputs'!H61&gt;='Model inputs'!B54),'Model inputs'!H61&gt;='Model inputs'!B54,IF(OR('Model inputs'!H61="",'Model inputs'!B54=""),"",'Model inputs'!H61&gt;='Model inputs'!B54))),1,0)="",0,IF(IF(IF(ISERROR('Model inputs'!H61&gt;='Model inputs'!B54),'Model inputs'!H61&gt;='Model inputs'!B54,IF(OR('Model inputs'!H61="",'Model inputs'!B54=""),"",'Model inputs'!H61&gt;='Model inputs'!B54))="",FALSE,IF(ISERROR('Model inputs'!H61&gt;='Model inputs'!B54),'Model inputs'!H61&gt;='Model inputs'!B54,IF(OR('Model inputs'!H61="",'Model inputs'!B54=""),"",'Model inputs'!H61&gt;='Model inputs'!B54))),1,0))</f>
        <v>1</v>
      </c>
      <c r="I73" s="14">
        <f>'Model inputs'!B46*IF(IF(IF(IF(ISERROR('Model inputs'!I61&gt;='Model inputs'!B54),'Model inputs'!I61&gt;='Model inputs'!B54,IF(OR('Model inputs'!I61="",'Model inputs'!B54=""),"",'Model inputs'!I61&gt;='Model inputs'!B54))="",FALSE,IF(ISERROR('Model inputs'!I61&gt;='Model inputs'!B54),'Model inputs'!I61&gt;='Model inputs'!B54,IF(OR('Model inputs'!I61="",'Model inputs'!B54=""),"",'Model inputs'!I61&gt;='Model inputs'!B54))),1,0)="",0,IF(IF(IF(ISERROR('Model inputs'!I61&gt;='Model inputs'!B54),'Model inputs'!I61&gt;='Model inputs'!B54,IF(OR('Model inputs'!I61="",'Model inputs'!B54=""),"",'Model inputs'!I61&gt;='Model inputs'!B54))="",FALSE,IF(ISERROR('Model inputs'!I61&gt;='Model inputs'!B54),'Model inputs'!I61&gt;='Model inputs'!B54,IF(OR('Model inputs'!I61="",'Model inputs'!B54=""),"",'Model inputs'!I61&gt;='Model inputs'!B54))),1,0))</f>
        <v>1</v>
      </c>
      <c r="J73" s="14">
        <f>'Model inputs'!B46*IF(IF(IF(IF(ISERROR('Model inputs'!J61&gt;='Model inputs'!B54),'Model inputs'!J61&gt;='Model inputs'!B54,IF(OR('Model inputs'!J61="",'Model inputs'!B54=""),"",'Model inputs'!J61&gt;='Model inputs'!B54))="",FALSE,IF(ISERROR('Model inputs'!J61&gt;='Model inputs'!B54),'Model inputs'!J61&gt;='Model inputs'!B54,IF(OR('Model inputs'!J61="",'Model inputs'!B54=""),"",'Model inputs'!J61&gt;='Model inputs'!B54))),1,0)="",0,IF(IF(IF(ISERROR('Model inputs'!J61&gt;='Model inputs'!B54),'Model inputs'!J61&gt;='Model inputs'!B54,IF(OR('Model inputs'!J61="",'Model inputs'!B54=""),"",'Model inputs'!J61&gt;='Model inputs'!B54))="",FALSE,IF(ISERROR('Model inputs'!J61&gt;='Model inputs'!B54),'Model inputs'!J61&gt;='Model inputs'!B54,IF(OR('Model inputs'!J61="",'Model inputs'!B54=""),"",'Model inputs'!J61&gt;='Model inputs'!B54))),1,0))</f>
        <v>1</v>
      </c>
      <c r="K73" s="14">
        <f>'Model inputs'!B46*IF(IF(IF(IF(ISERROR('Model inputs'!K61&gt;='Model inputs'!B54),'Model inputs'!K61&gt;='Model inputs'!B54,IF(OR('Model inputs'!K61="",'Model inputs'!B54=""),"",'Model inputs'!K61&gt;='Model inputs'!B54))="",FALSE,IF(ISERROR('Model inputs'!K61&gt;='Model inputs'!B54),'Model inputs'!K61&gt;='Model inputs'!B54,IF(OR('Model inputs'!K61="",'Model inputs'!B54=""),"",'Model inputs'!K61&gt;='Model inputs'!B54))),1,0)="",0,IF(IF(IF(ISERROR('Model inputs'!K61&gt;='Model inputs'!B54),'Model inputs'!K61&gt;='Model inputs'!B54,IF(OR('Model inputs'!K61="",'Model inputs'!B54=""),"",'Model inputs'!K61&gt;='Model inputs'!B54))="",FALSE,IF(ISERROR('Model inputs'!K61&gt;='Model inputs'!B54),'Model inputs'!K61&gt;='Model inputs'!B54,IF(OR('Model inputs'!K61="",'Model inputs'!B54=""),"",'Model inputs'!K61&gt;='Model inputs'!B54))),1,0))</f>
        <v>1</v>
      </c>
      <c r="L73" s="14">
        <f>'Model inputs'!B46*IF(IF(IF(IF(ISERROR('Model inputs'!L61&gt;='Model inputs'!B54),'Model inputs'!L61&gt;='Model inputs'!B54,IF(OR('Model inputs'!L61="",'Model inputs'!B54=""),"",'Model inputs'!L61&gt;='Model inputs'!B54))="",FALSE,IF(ISERROR('Model inputs'!L61&gt;='Model inputs'!B54),'Model inputs'!L61&gt;='Model inputs'!B54,IF(OR('Model inputs'!L61="",'Model inputs'!B54=""),"",'Model inputs'!L61&gt;='Model inputs'!B54))),1,0)="",0,IF(IF(IF(ISERROR('Model inputs'!L61&gt;='Model inputs'!B54),'Model inputs'!L61&gt;='Model inputs'!B54,IF(OR('Model inputs'!L61="",'Model inputs'!B54=""),"",'Model inputs'!L61&gt;='Model inputs'!B54))="",FALSE,IF(ISERROR('Model inputs'!L61&gt;='Model inputs'!B54),'Model inputs'!L61&gt;='Model inputs'!B54,IF(OR('Model inputs'!L61="",'Model inputs'!B54=""),"",'Model inputs'!L61&gt;='Model inputs'!B54))),1,0))</f>
        <v>1</v>
      </c>
      <c r="M73" s="14">
        <f>'Model inputs'!B46*IF(IF(IF(IF(ISERROR('Model inputs'!M61&gt;='Model inputs'!B54),'Model inputs'!M61&gt;='Model inputs'!B54,IF(OR('Model inputs'!M61="",'Model inputs'!B54=""),"",'Model inputs'!M61&gt;='Model inputs'!B54))="",FALSE,IF(ISERROR('Model inputs'!M61&gt;='Model inputs'!B54),'Model inputs'!M61&gt;='Model inputs'!B54,IF(OR('Model inputs'!M61="",'Model inputs'!B54=""),"",'Model inputs'!M61&gt;='Model inputs'!B54))),1,0)="",0,IF(IF(IF(ISERROR('Model inputs'!M61&gt;='Model inputs'!B54),'Model inputs'!M61&gt;='Model inputs'!B54,IF(OR('Model inputs'!M61="",'Model inputs'!B54=""),"",'Model inputs'!M61&gt;='Model inputs'!B54))="",FALSE,IF(ISERROR('Model inputs'!M61&gt;='Model inputs'!B54),'Model inputs'!M61&gt;='Model inputs'!B54,IF(OR('Model inputs'!M61="",'Model inputs'!B54=""),"",'Model inputs'!M61&gt;='Model inputs'!B54))),1,0))</f>
        <v>1</v>
      </c>
      <c r="N73" s="14">
        <f>'Model inputs'!B46*IF(IF(IF(IF(ISERROR('Model inputs'!N61&gt;='Model inputs'!B54),'Model inputs'!N61&gt;='Model inputs'!B54,IF(OR('Model inputs'!N61="",'Model inputs'!B54=""),"",'Model inputs'!N61&gt;='Model inputs'!B54))="",FALSE,IF(ISERROR('Model inputs'!N61&gt;='Model inputs'!B54),'Model inputs'!N61&gt;='Model inputs'!B54,IF(OR('Model inputs'!N61="",'Model inputs'!B54=""),"",'Model inputs'!N61&gt;='Model inputs'!B54))),1,0)="",0,IF(IF(IF(ISERROR('Model inputs'!N61&gt;='Model inputs'!B54),'Model inputs'!N61&gt;='Model inputs'!B54,IF(OR('Model inputs'!N61="",'Model inputs'!B54=""),"",'Model inputs'!N61&gt;='Model inputs'!B54))="",FALSE,IF(ISERROR('Model inputs'!N61&gt;='Model inputs'!B54),'Model inputs'!N61&gt;='Model inputs'!B54,IF(OR('Model inputs'!N61="",'Model inputs'!B54=""),"",'Model inputs'!N61&gt;='Model inputs'!B54))),1,0))</f>
        <v>1</v>
      </c>
      <c r="O73" s="14">
        <f>'Model inputs'!B46*IF(IF(IF(IF(ISERROR('Model inputs'!O61&gt;='Model inputs'!B54),'Model inputs'!O61&gt;='Model inputs'!B54,IF(OR('Model inputs'!O61="",'Model inputs'!B54=""),"",'Model inputs'!O61&gt;='Model inputs'!B54))="",FALSE,IF(ISERROR('Model inputs'!O61&gt;='Model inputs'!B54),'Model inputs'!O61&gt;='Model inputs'!B54,IF(OR('Model inputs'!O61="",'Model inputs'!B54=""),"",'Model inputs'!O61&gt;='Model inputs'!B54))),1,0)="",0,IF(IF(IF(ISERROR('Model inputs'!O61&gt;='Model inputs'!B54),'Model inputs'!O61&gt;='Model inputs'!B54,IF(OR('Model inputs'!O61="",'Model inputs'!B54=""),"",'Model inputs'!O61&gt;='Model inputs'!B54))="",FALSE,IF(ISERROR('Model inputs'!O61&gt;='Model inputs'!B54),'Model inputs'!O61&gt;='Model inputs'!B54,IF(OR('Model inputs'!O61="",'Model inputs'!B54=""),"",'Model inputs'!O61&gt;='Model inputs'!B54))),1,0))</f>
        <v>1</v>
      </c>
      <c r="P73" s="14">
        <f>'Model inputs'!B46*IF(IF(IF(IF(ISERROR('Model inputs'!P61&gt;='Model inputs'!B54),'Model inputs'!P61&gt;='Model inputs'!B54,IF(OR('Model inputs'!P61="",'Model inputs'!B54=""),"",'Model inputs'!P61&gt;='Model inputs'!B54))="",FALSE,IF(ISERROR('Model inputs'!P61&gt;='Model inputs'!B54),'Model inputs'!P61&gt;='Model inputs'!B54,IF(OR('Model inputs'!P61="",'Model inputs'!B54=""),"",'Model inputs'!P61&gt;='Model inputs'!B54))),1,0)="",0,IF(IF(IF(ISERROR('Model inputs'!P61&gt;='Model inputs'!B54),'Model inputs'!P61&gt;='Model inputs'!B54,IF(OR('Model inputs'!P61="",'Model inputs'!B54=""),"",'Model inputs'!P61&gt;='Model inputs'!B54))="",FALSE,IF(ISERROR('Model inputs'!P61&gt;='Model inputs'!B54),'Model inputs'!P61&gt;='Model inputs'!B54,IF(OR('Model inputs'!P61="",'Model inputs'!B54=""),"",'Model inputs'!P61&gt;='Model inputs'!B54))),1,0))</f>
        <v>1</v>
      </c>
    </row>
    <row r="74" outlineLevel="1">
      <c r="A74" t="inlineStr" s="17">
        <is>
          <t xml:space="preserve">Forecast headcount &gt; Planned engineer</t>
        </is>
      </c>
      <c r="C74" t="e" s="14">
        <f>'Model inputs'!B47*IF(IF(IF(IF(ISERROR('Model inputs'!C61&gt;='Model inputs'!B55),'Model inputs'!C61&gt;='Model inputs'!B55,IF(OR('Model inputs'!C61="",'Model inputs'!B55=""),"",'Model inputs'!C61&gt;='Model inputs'!B55))="",FALSE,IF(ISERROR('Model inputs'!C61&gt;='Model inputs'!B55),'Model inputs'!C61&gt;='Model inputs'!B55,IF(OR('Model inputs'!C61="",'Model inputs'!B55=""),"",'Model inputs'!C61&gt;='Model inputs'!B55))),1,0)="",0,IF(IF(IF(ISERROR('Model inputs'!C61&gt;='Model inputs'!B55),'Model inputs'!C61&gt;='Model inputs'!B55,IF(OR('Model inputs'!C61="",'Model inputs'!B55=""),"",'Model inputs'!C61&gt;='Model inputs'!B55))="",FALSE,IF(ISERROR('Model inputs'!C61&gt;='Model inputs'!B55),'Model inputs'!C61&gt;='Model inputs'!B55,IF(OR('Model inputs'!C61="",'Model inputs'!B55=""),"",'Model inputs'!C61&gt;='Model inputs'!B55))),1,0))</f>
        <v>#VALUE!</v>
      </c>
      <c r="D74" t="e" s="14">
        <f>'Model inputs'!B47*IF(IF(IF(IF(ISERROR('Model inputs'!D61&gt;='Model inputs'!B55),'Model inputs'!D61&gt;='Model inputs'!B55,IF(OR('Model inputs'!D61="",'Model inputs'!B55=""),"",'Model inputs'!D61&gt;='Model inputs'!B55))="",FALSE,IF(ISERROR('Model inputs'!D61&gt;='Model inputs'!B55),'Model inputs'!D61&gt;='Model inputs'!B55,IF(OR('Model inputs'!D61="",'Model inputs'!B55=""),"",'Model inputs'!D61&gt;='Model inputs'!B55))),1,0)="",0,IF(IF(IF(ISERROR('Model inputs'!D61&gt;='Model inputs'!B55),'Model inputs'!D61&gt;='Model inputs'!B55,IF(OR('Model inputs'!D61="",'Model inputs'!B55=""),"",'Model inputs'!D61&gt;='Model inputs'!B55))="",FALSE,IF(ISERROR('Model inputs'!D61&gt;='Model inputs'!B55),'Model inputs'!D61&gt;='Model inputs'!B55,IF(OR('Model inputs'!D61="",'Model inputs'!B55=""),"",'Model inputs'!D61&gt;='Model inputs'!B55))),1,0))</f>
        <v>#VALUE!</v>
      </c>
      <c r="E74" s="14">
        <f>'Model inputs'!B47*IF(IF(IF(IF(ISERROR('Model inputs'!E61&gt;='Model inputs'!B55),'Model inputs'!E61&gt;='Model inputs'!B55,IF(OR('Model inputs'!E61="",'Model inputs'!B55=""),"",'Model inputs'!E61&gt;='Model inputs'!B55))="",FALSE,IF(ISERROR('Model inputs'!E61&gt;='Model inputs'!B55),'Model inputs'!E61&gt;='Model inputs'!B55,IF(OR('Model inputs'!E61="",'Model inputs'!B55=""),"",'Model inputs'!E61&gt;='Model inputs'!B55))),1,0)="",0,IF(IF(IF(ISERROR('Model inputs'!E61&gt;='Model inputs'!B55),'Model inputs'!E61&gt;='Model inputs'!B55,IF(OR('Model inputs'!E61="",'Model inputs'!B55=""),"",'Model inputs'!E61&gt;='Model inputs'!B55))="",FALSE,IF(ISERROR('Model inputs'!E61&gt;='Model inputs'!B55),'Model inputs'!E61&gt;='Model inputs'!B55,IF(OR('Model inputs'!E61="",'Model inputs'!B55=""),"",'Model inputs'!E61&gt;='Model inputs'!B55))),1,0))</f>
        <v>0</v>
      </c>
      <c r="F74" s="14">
        <f>'Model inputs'!B47*IF(IF(IF(IF(ISERROR('Model inputs'!F61&gt;='Model inputs'!B55),'Model inputs'!F61&gt;='Model inputs'!B55,IF(OR('Model inputs'!F61="",'Model inputs'!B55=""),"",'Model inputs'!F61&gt;='Model inputs'!B55))="",FALSE,IF(ISERROR('Model inputs'!F61&gt;='Model inputs'!B55),'Model inputs'!F61&gt;='Model inputs'!B55,IF(OR('Model inputs'!F61="",'Model inputs'!B55=""),"",'Model inputs'!F61&gt;='Model inputs'!B55))),1,0)="",0,IF(IF(IF(ISERROR('Model inputs'!F61&gt;='Model inputs'!B55),'Model inputs'!F61&gt;='Model inputs'!B55,IF(OR('Model inputs'!F61="",'Model inputs'!B55=""),"",'Model inputs'!F61&gt;='Model inputs'!B55))="",FALSE,IF(ISERROR('Model inputs'!F61&gt;='Model inputs'!B55),'Model inputs'!F61&gt;='Model inputs'!B55,IF(OR('Model inputs'!F61="",'Model inputs'!B55=""),"",'Model inputs'!F61&gt;='Model inputs'!B55))),1,0))</f>
        <v>0</v>
      </c>
      <c r="G74" s="14">
        <f>'Model inputs'!B47*IF(IF(IF(IF(ISERROR('Model inputs'!G61&gt;='Model inputs'!B55),'Model inputs'!G61&gt;='Model inputs'!B55,IF(OR('Model inputs'!G61="",'Model inputs'!B55=""),"",'Model inputs'!G61&gt;='Model inputs'!B55))="",FALSE,IF(ISERROR('Model inputs'!G61&gt;='Model inputs'!B55),'Model inputs'!G61&gt;='Model inputs'!B55,IF(OR('Model inputs'!G61="",'Model inputs'!B55=""),"",'Model inputs'!G61&gt;='Model inputs'!B55))),1,0)="",0,IF(IF(IF(ISERROR('Model inputs'!G61&gt;='Model inputs'!B55),'Model inputs'!G61&gt;='Model inputs'!B55,IF(OR('Model inputs'!G61="",'Model inputs'!B55=""),"",'Model inputs'!G61&gt;='Model inputs'!B55))="",FALSE,IF(ISERROR('Model inputs'!G61&gt;='Model inputs'!B55),'Model inputs'!G61&gt;='Model inputs'!B55,IF(OR('Model inputs'!G61="",'Model inputs'!B55=""),"",'Model inputs'!G61&gt;='Model inputs'!B55))),1,0))</f>
        <v>0</v>
      </c>
      <c r="H74" s="14">
        <f>'Model inputs'!B47*IF(IF(IF(IF(ISERROR('Model inputs'!H61&gt;='Model inputs'!B55),'Model inputs'!H61&gt;='Model inputs'!B55,IF(OR('Model inputs'!H61="",'Model inputs'!B55=""),"",'Model inputs'!H61&gt;='Model inputs'!B55))="",FALSE,IF(ISERROR('Model inputs'!H61&gt;='Model inputs'!B55),'Model inputs'!H61&gt;='Model inputs'!B55,IF(OR('Model inputs'!H61="",'Model inputs'!B55=""),"",'Model inputs'!H61&gt;='Model inputs'!B55))),1,0)="",0,IF(IF(IF(ISERROR('Model inputs'!H61&gt;='Model inputs'!B55),'Model inputs'!H61&gt;='Model inputs'!B55,IF(OR('Model inputs'!H61="",'Model inputs'!B55=""),"",'Model inputs'!H61&gt;='Model inputs'!B55))="",FALSE,IF(ISERROR('Model inputs'!H61&gt;='Model inputs'!B55),'Model inputs'!H61&gt;='Model inputs'!B55,IF(OR('Model inputs'!H61="",'Model inputs'!B55=""),"",'Model inputs'!H61&gt;='Model inputs'!B55))),1,0))</f>
        <v>0</v>
      </c>
      <c r="I74" s="14">
        <f>'Model inputs'!B47*IF(IF(IF(IF(ISERROR('Model inputs'!I61&gt;='Model inputs'!B55),'Model inputs'!I61&gt;='Model inputs'!B55,IF(OR('Model inputs'!I61="",'Model inputs'!B55=""),"",'Model inputs'!I61&gt;='Model inputs'!B55))="",FALSE,IF(ISERROR('Model inputs'!I61&gt;='Model inputs'!B55),'Model inputs'!I61&gt;='Model inputs'!B55,IF(OR('Model inputs'!I61="",'Model inputs'!B55=""),"",'Model inputs'!I61&gt;='Model inputs'!B55))),1,0)="",0,IF(IF(IF(ISERROR('Model inputs'!I61&gt;='Model inputs'!B55),'Model inputs'!I61&gt;='Model inputs'!B55,IF(OR('Model inputs'!I61="",'Model inputs'!B55=""),"",'Model inputs'!I61&gt;='Model inputs'!B55))="",FALSE,IF(ISERROR('Model inputs'!I61&gt;='Model inputs'!B55),'Model inputs'!I61&gt;='Model inputs'!B55,IF(OR('Model inputs'!I61="",'Model inputs'!B55=""),"",'Model inputs'!I61&gt;='Model inputs'!B55))),1,0))</f>
        <v>0</v>
      </c>
      <c r="J74" s="14">
        <f>'Model inputs'!B47*IF(IF(IF(IF(ISERROR('Model inputs'!J61&gt;='Model inputs'!B55),'Model inputs'!J61&gt;='Model inputs'!B55,IF(OR('Model inputs'!J61="",'Model inputs'!B55=""),"",'Model inputs'!J61&gt;='Model inputs'!B55))="",FALSE,IF(ISERROR('Model inputs'!J61&gt;='Model inputs'!B55),'Model inputs'!J61&gt;='Model inputs'!B55,IF(OR('Model inputs'!J61="",'Model inputs'!B55=""),"",'Model inputs'!J61&gt;='Model inputs'!B55))),1,0)="",0,IF(IF(IF(ISERROR('Model inputs'!J61&gt;='Model inputs'!B55),'Model inputs'!J61&gt;='Model inputs'!B55,IF(OR('Model inputs'!J61="",'Model inputs'!B55=""),"",'Model inputs'!J61&gt;='Model inputs'!B55))="",FALSE,IF(ISERROR('Model inputs'!J61&gt;='Model inputs'!B55),'Model inputs'!J61&gt;='Model inputs'!B55,IF(OR('Model inputs'!J61="",'Model inputs'!B55=""),"",'Model inputs'!J61&gt;='Model inputs'!B55))),1,0))</f>
        <v>0</v>
      </c>
      <c r="K74" s="14">
        <f>'Model inputs'!B47*IF(IF(IF(IF(ISERROR('Model inputs'!K61&gt;='Model inputs'!B55),'Model inputs'!K61&gt;='Model inputs'!B55,IF(OR('Model inputs'!K61="",'Model inputs'!B55=""),"",'Model inputs'!K61&gt;='Model inputs'!B55))="",FALSE,IF(ISERROR('Model inputs'!K61&gt;='Model inputs'!B55),'Model inputs'!K61&gt;='Model inputs'!B55,IF(OR('Model inputs'!K61="",'Model inputs'!B55=""),"",'Model inputs'!K61&gt;='Model inputs'!B55))),1,0)="",0,IF(IF(IF(ISERROR('Model inputs'!K61&gt;='Model inputs'!B55),'Model inputs'!K61&gt;='Model inputs'!B55,IF(OR('Model inputs'!K61="",'Model inputs'!B55=""),"",'Model inputs'!K61&gt;='Model inputs'!B55))="",FALSE,IF(ISERROR('Model inputs'!K61&gt;='Model inputs'!B55),'Model inputs'!K61&gt;='Model inputs'!B55,IF(OR('Model inputs'!K61="",'Model inputs'!B55=""),"",'Model inputs'!K61&gt;='Model inputs'!B55))),1,0))</f>
        <v>0</v>
      </c>
      <c r="L74" s="14">
        <f>'Model inputs'!B47*IF(IF(IF(IF(ISERROR('Model inputs'!L61&gt;='Model inputs'!B55),'Model inputs'!L61&gt;='Model inputs'!B55,IF(OR('Model inputs'!L61="",'Model inputs'!B55=""),"",'Model inputs'!L61&gt;='Model inputs'!B55))="",FALSE,IF(ISERROR('Model inputs'!L61&gt;='Model inputs'!B55),'Model inputs'!L61&gt;='Model inputs'!B55,IF(OR('Model inputs'!L61="",'Model inputs'!B55=""),"",'Model inputs'!L61&gt;='Model inputs'!B55))),1,0)="",0,IF(IF(IF(ISERROR('Model inputs'!L61&gt;='Model inputs'!B55),'Model inputs'!L61&gt;='Model inputs'!B55,IF(OR('Model inputs'!L61="",'Model inputs'!B55=""),"",'Model inputs'!L61&gt;='Model inputs'!B55))="",FALSE,IF(ISERROR('Model inputs'!L61&gt;='Model inputs'!B55),'Model inputs'!L61&gt;='Model inputs'!B55,IF(OR('Model inputs'!L61="",'Model inputs'!B55=""),"",'Model inputs'!L61&gt;='Model inputs'!B55))),1,0))</f>
        <v>0</v>
      </c>
      <c r="M74" s="14">
        <f>'Model inputs'!B47*IF(IF(IF(IF(ISERROR('Model inputs'!M61&gt;='Model inputs'!B55),'Model inputs'!M61&gt;='Model inputs'!B55,IF(OR('Model inputs'!M61="",'Model inputs'!B55=""),"",'Model inputs'!M61&gt;='Model inputs'!B55))="",FALSE,IF(ISERROR('Model inputs'!M61&gt;='Model inputs'!B55),'Model inputs'!M61&gt;='Model inputs'!B55,IF(OR('Model inputs'!M61="",'Model inputs'!B55=""),"",'Model inputs'!M61&gt;='Model inputs'!B55))),1,0)="",0,IF(IF(IF(ISERROR('Model inputs'!M61&gt;='Model inputs'!B55),'Model inputs'!M61&gt;='Model inputs'!B55,IF(OR('Model inputs'!M61="",'Model inputs'!B55=""),"",'Model inputs'!M61&gt;='Model inputs'!B55))="",FALSE,IF(ISERROR('Model inputs'!M61&gt;='Model inputs'!B55),'Model inputs'!M61&gt;='Model inputs'!B55,IF(OR('Model inputs'!M61="",'Model inputs'!B55=""),"",'Model inputs'!M61&gt;='Model inputs'!B55))),1,0))</f>
        <v>0</v>
      </c>
      <c r="N74" s="14">
        <f>'Model inputs'!B47*IF(IF(IF(IF(ISERROR('Model inputs'!N61&gt;='Model inputs'!B55),'Model inputs'!N61&gt;='Model inputs'!B55,IF(OR('Model inputs'!N61="",'Model inputs'!B55=""),"",'Model inputs'!N61&gt;='Model inputs'!B55))="",FALSE,IF(ISERROR('Model inputs'!N61&gt;='Model inputs'!B55),'Model inputs'!N61&gt;='Model inputs'!B55,IF(OR('Model inputs'!N61="",'Model inputs'!B55=""),"",'Model inputs'!N61&gt;='Model inputs'!B55))),1,0)="",0,IF(IF(IF(ISERROR('Model inputs'!N61&gt;='Model inputs'!B55),'Model inputs'!N61&gt;='Model inputs'!B55,IF(OR('Model inputs'!N61="",'Model inputs'!B55=""),"",'Model inputs'!N61&gt;='Model inputs'!B55))="",FALSE,IF(ISERROR('Model inputs'!N61&gt;='Model inputs'!B55),'Model inputs'!N61&gt;='Model inputs'!B55,IF(OR('Model inputs'!N61="",'Model inputs'!B55=""),"",'Model inputs'!N61&gt;='Model inputs'!B55))),1,0))</f>
        <v>0</v>
      </c>
      <c r="O74" s="14">
        <f>'Model inputs'!B47*IF(IF(IF(IF(ISERROR('Model inputs'!O61&gt;='Model inputs'!B55),'Model inputs'!O61&gt;='Model inputs'!B55,IF(OR('Model inputs'!O61="",'Model inputs'!B55=""),"",'Model inputs'!O61&gt;='Model inputs'!B55))="",FALSE,IF(ISERROR('Model inputs'!O61&gt;='Model inputs'!B55),'Model inputs'!O61&gt;='Model inputs'!B55,IF(OR('Model inputs'!O61="",'Model inputs'!B55=""),"",'Model inputs'!O61&gt;='Model inputs'!B55))),1,0)="",0,IF(IF(IF(ISERROR('Model inputs'!O61&gt;='Model inputs'!B55),'Model inputs'!O61&gt;='Model inputs'!B55,IF(OR('Model inputs'!O61="",'Model inputs'!B55=""),"",'Model inputs'!O61&gt;='Model inputs'!B55))="",FALSE,IF(ISERROR('Model inputs'!O61&gt;='Model inputs'!B55),'Model inputs'!O61&gt;='Model inputs'!B55,IF(OR('Model inputs'!O61="",'Model inputs'!B55=""),"",'Model inputs'!O61&gt;='Model inputs'!B55))),1,0))</f>
        <v>0</v>
      </c>
      <c r="P74" s="14">
        <f>'Model inputs'!B47*IF(IF(IF(IF(ISERROR('Model inputs'!P61&gt;='Model inputs'!B55),'Model inputs'!P61&gt;='Model inputs'!B55,IF(OR('Model inputs'!P61="",'Model inputs'!B55=""),"",'Model inputs'!P61&gt;='Model inputs'!B55))="",FALSE,IF(ISERROR('Model inputs'!P61&gt;='Model inputs'!B55),'Model inputs'!P61&gt;='Model inputs'!B55,IF(OR('Model inputs'!P61="",'Model inputs'!B55=""),"",'Model inputs'!P61&gt;='Model inputs'!B55))),1,0)="",0,IF(IF(IF(ISERROR('Model inputs'!P61&gt;='Model inputs'!B55),'Model inputs'!P61&gt;='Model inputs'!B55,IF(OR('Model inputs'!P61="",'Model inputs'!B55=""),"",'Model inputs'!P61&gt;='Model inputs'!B55))="",FALSE,IF(ISERROR('Model inputs'!P61&gt;='Model inputs'!B55),'Model inputs'!P61&gt;='Model inputs'!B55,IF(OR('Model inputs'!P61="",'Model inputs'!B55=""),"",'Model inputs'!P61&gt;='Model inputs'!B55))),1,0))</f>
        <v>0</v>
      </c>
    </row>
    <row r="75">
      <c r="A75" t="inlineStr" s="16">
        <is>
          <t xml:space="preserve">Domain and Cloudflare monthly cost · Fixed monthly overhead · Monthly revenue cost and runway</t>
        </is>
      </c>
      <c r="B75" s="14">
        <f>1</f>
        <v>1</v>
      </c>
    </row>
    <row r="76">
      <c r="A76" t="inlineStr" s="16">
        <is>
          <t xml:space="preserve">EC2 monthly cost · Fixed monthly overhead · Monthly revenue cost and runway</t>
        </is>
      </c>
      <c r="B76" s="14">
        <f>68</f>
        <v>68</v>
      </c>
    </row>
    <row r="77">
      <c r="A77" t="inlineStr" s="16">
        <is>
          <t xml:space="preserve">Forecast cash balance · 12-month forecast summary · Susanoo — Growth</t>
        </is>
      </c>
      <c r="C77" t="e" s="8">
        <f>IF(IF(IF(IF(ISERROR('Model inputs'!C79=1),'Model inputs'!C79=1,IF('Model inputs'!C79="","",'Model inputs'!C79=1))="",FALSE,IF(ISERROR('Model inputs'!C79=1),'Model inputs'!C79=1,IF('Model inputs'!C79="","",'Model inputs'!C79=1))),IF('Model inputs'!B91="","",'Model inputs'!B91),"")="",0,IF(IF(IF(ISERROR('Model inputs'!C79=1),'Model inputs'!C79=1,IF('Model inputs'!C79="","",'Model inputs'!C79=1))="",FALSE,IF(ISERROR('Model inputs'!C79=1),'Model inputs'!C79=1,IF('Model inputs'!C79="","",'Model inputs'!C79=1))),IF('Model inputs'!B91="","",'Model inputs'!B91),""))+'Model inputs'!C89</f>
        <v>#VALUE!</v>
      </c>
      <c r="D77" t="e" s="8">
        <f>IF('Model inputs'!D17="","",'Model inputs'!D17)</f>
        <v>#VALUE!</v>
      </c>
      <c r="E77" s="8">
        <f>IF('Model inputs'!E17="","",'Model inputs'!E17)</f>
        <v>-120.25</v>
      </c>
      <c r="F77" s="8">
        <f>IF('Model inputs'!F17="","",'Model inputs'!F17)</f>
        <v>99.84090909090901</v>
      </c>
      <c r="G77" s="8">
        <f>IF('Model inputs'!G17="","",'Model inputs'!G17)</f>
        <v>660.272727272727</v>
      </c>
      <c r="H77" s="8">
        <f>IF('Model inputs'!H17="","",'Model inputs'!H17)</f>
        <v>1561.045454545454</v>
      </c>
      <c r="I77" s="8">
        <f>IF('Model inputs'!I17="","",'Model inputs'!I17)</f>
        <v>2802.15909090909</v>
      </c>
      <c r="J77" s="8">
        <f>IF('Model inputs'!J17="","",'Model inputs'!J17)</f>
        <v>-271.38636363636397</v>
      </c>
      <c r="K77" s="8">
        <f>IF('Model inputs'!K17="","",'Model inputs'!K17)</f>
        <v>-3004.59090909091</v>
      </c>
      <c r="L77" s="8">
        <f>IF('Model inputs'!L17="","",'Model inputs'!L17)</f>
        <v>-4052.4545454545478</v>
      </c>
      <c r="M77" s="8">
        <f>IF('Model inputs'!M17="","",'Model inputs'!M17)</f>
        <v>-4759.977272727276</v>
      </c>
      <c r="N77" s="8">
        <f>IF('Model inputs'!N17="","",'Model inputs'!N17)</f>
        <v>-3782.1590909090937</v>
      </c>
      <c r="O77" s="8">
        <f>IF('Model inputs'!O17="","",'Model inputs'!O17)</f>
        <v>-2464.000000000002</v>
      </c>
      <c r="P77" s="8">
        <f>IF('Model inputs'!P17="","",'Model inputs'!P17)</f>
        <v>539.4999999999982</v>
      </c>
    </row>
    <row r="78">
      <c r="A78" t="inlineStr" s="16">
        <is>
          <t xml:space="preserve">Forecast fixed costs · Total forecast costs · Susanoo — Growth · Susanoo — Growth</t>
        </is>
      </c>
      <c r="C78" s="8">
        <f>IF('Model inputs'!B94="","",'Model inputs'!B94)</f>
        <v>89</v>
      </c>
      <c r="D78" s="8">
        <f>IF('Model inputs'!B94="","",'Model inputs'!B94)</f>
        <v>89</v>
      </c>
      <c r="E78" s="8">
        <f>IF('Model inputs'!B94="","",'Model inputs'!B94)</f>
        <v>89</v>
      </c>
      <c r="F78" s="8">
        <f>IF('Model inputs'!B94="","",'Model inputs'!B94)</f>
        <v>89</v>
      </c>
      <c r="G78" s="8">
        <f>IF('Model inputs'!B94="","",'Model inputs'!B94)</f>
        <v>89</v>
      </c>
      <c r="H78" s="8">
        <f>IF('Model inputs'!B94="","",'Model inputs'!B94)</f>
        <v>89</v>
      </c>
      <c r="I78" s="8">
        <f>IF('Model inputs'!B94="","",'Model inputs'!B94)</f>
        <v>89</v>
      </c>
      <c r="J78" s="8">
        <f>IF('Model inputs'!B94="","",'Model inputs'!B94)</f>
        <v>89</v>
      </c>
      <c r="K78" s="8">
        <f>IF('Model inputs'!B94="","",'Model inputs'!B94)</f>
        <v>89</v>
      </c>
      <c r="L78" s="8">
        <f>IF('Model inputs'!B94="","",'Model inputs'!B94)</f>
        <v>89</v>
      </c>
      <c r="M78" s="8">
        <f>IF('Model inputs'!B94="","",'Model inputs'!B94)</f>
        <v>89</v>
      </c>
      <c r="N78" s="8">
        <f>IF('Model inputs'!B94="","",'Model inputs'!B94)</f>
        <v>89</v>
      </c>
      <c r="O78" s="8">
        <f>IF('Model inputs'!B94="","",'Model inputs'!B94)</f>
        <v>89</v>
      </c>
      <c r="P78" s="8">
        <f>IF('Model inputs'!B94="","",'Model inputs'!B94)</f>
        <v>89</v>
      </c>
    </row>
    <row r="79">
      <c r="A79" t="inlineStr" s="16">
        <is>
          <t xml:space="preserve">Forecast month · Forecast cash balance · Susanoo — Growth · Susanoo — Growth</t>
        </is>
      </c>
      <c r="C79" t="e" s="14">
        <f>DATEDIF('Model inputs'!Q23,DATE(2026,9,1),"M")+1</f>
        <v>#VALUE!</v>
      </c>
      <c r="D79" t="e" s="14">
        <f>DATEDIF('Model inputs'!Q23,DATE(2026,10,1),"M")+1</f>
        <v>#VALUE!</v>
      </c>
      <c r="E79" s="14">
        <f>DATEDIF('Model inputs'!Q23,DATE(2026,11,1),"M")+1</f>
        <v>1</v>
      </c>
      <c r="F79" s="14">
        <f>DATEDIF('Model inputs'!Q23,DATE(2026,12,1),"M")+1</f>
        <v>2</v>
      </c>
      <c r="G79" s="14">
        <f>DATEDIF('Model inputs'!Q23,DATE(2027,1,1),"M")+1</f>
        <v>3</v>
      </c>
      <c r="H79" s="14">
        <f>DATEDIF('Model inputs'!Q23,DATE(2027,2,1),"M")+1</f>
        <v>4</v>
      </c>
      <c r="I79" s="14">
        <f>DATEDIF('Model inputs'!Q23,DATE(2027,3,1),"M")+1</f>
        <v>5</v>
      </c>
      <c r="J79" s="14">
        <f>DATEDIF('Model inputs'!Q23,DATE(2027,4,1),"M")+1</f>
        <v>6</v>
      </c>
      <c r="K79" s="14">
        <f>DATEDIF('Model inputs'!Q23,DATE(2027,5,1),"M")+1</f>
        <v>7</v>
      </c>
      <c r="L79" s="14">
        <f>DATEDIF('Model inputs'!Q23,DATE(2027,6,1),"M")+1</f>
        <v>8</v>
      </c>
      <c r="M79" s="14">
        <f>DATEDIF('Model inputs'!Q23,DATE(2027,7,1),"M")+1</f>
        <v>9</v>
      </c>
      <c r="N79" s="14">
        <f>DATEDIF('Model inputs'!Q23,DATE(2027,8,1),"M")+1</f>
        <v>10</v>
      </c>
      <c r="O79" s="14">
        <f>DATEDIF('Model inputs'!Q23,DATE(2027,9,1),"M")+1</f>
        <v>11</v>
      </c>
      <c r="P79" s="14">
        <f>DATEDIF('Model inputs'!Q23,DATE(2027,10,1),"M")+1</f>
        <v>12</v>
      </c>
    </row>
    <row r="80">
      <c r="A80" t="inlineStr" s="16">
        <is>
          <t xml:space="preserve">Forecast run costs · Total forecast costs · Susanoo — Growth · Susanoo — Growth</t>
        </is>
      </c>
      <c r="C80" t="e" s="8">
        <f>SUM('Model inputs'!C96,'Model inputs'!C97,'Model inputs'!C98)</f>
        <v>#VALUE!</v>
      </c>
      <c r="D80" t="e" s="8">
        <f>SUM('Model inputs'!D96,'Model inputs'!D97,'Model inputs'!D98)</f>
        <v>#VALUE!</v>
      </c>
      <c r="E80" s="8">
        <f>SUM('Model inputs'!E96,'Model inputs'!E97,'Model inputs'!E98)</f>
        <v>426.25</v>
      </c>
      <c r="F80" s="8">
        <f>SUM('Model inputs'!F96,'Model inputs'!F97,'Model inputs'!F98)</f>
        <v>1127.2727272727273</v>
      </c>
      <c r="G80" s="8">
        <f>SUM('Model inputs'!G96,'Model inputs'!G97,'Model inputs'!G98)</f>
        <v>1828.2954545454545</v>
      </c>
      <c r="H80" s="8">
        <f>SUM('Model inputs'!H96,'Model inputs'!H97,'Model inputs'!H98)</f>
        <v>2529.318181818182</v>
      </c>
      <c r="I80" s="8">
        <f>SUM('Model inputs'!I96,'Model inputs'!I97,'Model inputs'!I98)</f>
        <v>3230.340909090909</v>
      </c>
      <c r="J80" s="8">
        <f>SUM('Model inputs'!J96,'Model inputs'!J97,'Model inputs'!J98)</f>
        <v>4086.3636363636365</v>
      </c>
      <c r="K80" s="8">
        <f>SUM('Model inputs'!K96,'Model inputs'!K97,'Model inputs'!K98)</f>
        <v>4787.386363636364</v>
      </c>
      <c r="L80" s="8">
        <f>SUM('Model inputs'!L96,'Model inputs'!L97,'Model inputs'!L98)</f>
        <v>5643.409090909091</v>
      </c>
      <c r="M80" s="8">
        <f>SUM('Model inputs'!M96,'Model inputs'!M97,'Model inputs'!M98)</f>
        <v>6344.431818181818</v>
      </c>
      <c r="N80" s="8">
        <f>SUM('Model inputs'!N96,'Model inputs'!N97,'Model inputs'!N98)</f>
        <v>7200.454545454546</v>
      </c>
      <c r="O80" s="8">
        <f>SUM('Model inputs'!O96,'Model inputs'!O97,'Model inputs'!O98)</f>
        <v>7901.477272727273</v>
      </c>
      <c r="P80" s="8">
        <f>SUM('Model inputs'!P96,'Model inputs'!P97,'Model inputs'!P98)</f>
        <v>8757.5</v>
      </c>
    </row>
    <row r="81">
      <c r="A81" t="inlineStr" s="16">
        <is>
          <t xml:space="preserve">Forecast salaries · Total forecast costs · Susanoo — Growth · Susanoo — Growth</t>
        </is>
      </c>
      <c r="C81" t="e" s="8">
        <f>SUM('Model inputs'!C100,'Model inputs'!C101,'Model inputs'!C102)</f>
        <v>#VALUE!</v>
      </c>
      <c r="D81" t="e" s="8">
        <f>SUM('Model inputs'!D100,'Model inputs'!D101,'Model inputs'!D102)</f>
        <v>#VALUE!</v>
      </c>
      <c r="E81" s="8">
        <f>SUM('Model inputs'!E100,'Model inputs'!E101,'Model inputs'!E102)</f>
        <v>0</v>
      </c>
      <c r="F81" s="8">
        <f>SUM('Model inputs'!F100,'Model inputs'!F101,'Model inputs'!F102)</f>
        <v>0</v>
      </c>
      <c r="G81" s="8">
        <f>SUM('Model inputs'!G100,'Model inputs'!G101,'Model inputs'!G102)</f>
        <v>0</v>
      </c>
      <c r="H81" s="8">
        <f>SUM('Model inputs'!H100,'Model inputs'!H101,'Model inputs'!H102)</f>
        <v>0</v>
      </c>
      <c r="I81" s="8">
        <f>SUM('Model inputs'!I100,'Model inputs'!I101,'Model inputs'!I102)</f>
        <v>0</v>
      </c>
      <c r="J81" s="8">
        <f>SUM('Model inputs'!J100,'Model inputs'!J101,'Model inputs'!J102)</f>
        <v>6000</v>
      </c>
      <c r="K81" s="8">
        <f>SUM('Model inputs'!K100,'Model inputs'!K101,'Model inputs'!K102)</f>
        <v>6000</v>
      </c>
      <c r="L81" s="8">
        <f>SUM('Model inputs'!L100,'Model inputs'!L101,'Model inputs'!L102)</f>
        <v>6000</v>
      </c>
      <c r="M81" s="8">
        <f>SUM('Model inputs'!M100,'Model inputs'!M101,'Model inputs'!M102)</f>
        <v>6000</v>
      </c>
      <c r="N81" s="8">
        <f>SUM('Model inputs'!N100,'Model inputs'!N101,'Model inputs'!N102)</f>
        <v>6000</v>
      </c>
      <c r="O81" s="8">
        <f>SUM('Model inputs'!O100,'Model inputs'!O101,'Model inputs'!O102)</f>
        <v>6000</v>
      </c>
      <c r="P81" s="8">
        <f>SUM('Model inputs'!P100,'Model inputs'!P101,'Model inputs'!P102)</f>
        <v>6000</v>
      </c>
    </row>
    <row r="82">
      <c r="A82" t="inlineStr" s="16">
        <is>
          <t xml:space="preserve">Forecast subscription revenue</t>
        </is>
      </c>
      <c r="D82" t="e" s="6">
        <f>IF('Model inputs'!D29="","",'Model inputs'!D29)</f>
        <v>#VALUE!</v>
      </c>
      <c r="E82" s="6">
        <f>IF('Model inputs'!E29="","",'Model inputs'!E29)</f>
        <v>395</v>
      </c>
      <c r="F82" s="6">
        <f>IF('Model inputs'!F29="","",'Model inputs'!F29)</f>
        <v>1436.3636363636363</v>
      </c>
      <c r="G82" s="6">
        <f>IF('Model inputs'!G29="","",'Model inputs'!G29)</f>
        <v>2477.7272727272725</v>
      </c>
      <c r="H82" s="6">
        <f>IF('Model inputs'!H29="","",'Model inputs'!H29)</f>
        <v>3519.090909090909</v>
      </c>
      <c r="I82" s="6">
        <f>IF('Model inputs'!I29="","",'Model inputs'!I29)</f>
        <v>4560.454545454545</v>
      </c>
      <c r="J82" s="6">
        <f>IF('Model inputs'!J29="","",'Model inputs'!J29)</f>
        <v>7101.818181818182</v>
      </c>
      <c r="K82" s="6">
        <f>IF('Model inputs'!K29="","",'Model inputs'!K29)</f>
        <v>8143.181818181818</v>
      </c>
      <c r="L82" s="6">
        <f>IF('Model inputs'!L29="","",'Model inputs'!L29)</f>
        <v>10684.545454545454</v>
      </c>
      <c r="M82" s="6">
        <f>IF('Model inputs'!M29="","",'Model inputs'!M29)</f>
        <v>11725.90909090909</v>
      </c>
      <c r="N82" s="6">
        <f>IF('Model inputs'!N29="","",'Model inputs'!N29)</f>
        <v>14267.272727272728</v>
      </c>
      <c r="O82" s="6">
        <f>IF('Model inputs'!O29="","",'Model inputs'!O29)</f>
        <v>15308.636363636364</v>
      </c>
      <c r="P82" s="6">
        <f>IF('Model inputs'!P29="","",'Model inputs'!P29)</f>
        <v>17850</v>
      </c>
    </row>
    <row r="83" outlineLevel="1">
      <c r="A83" t="inlineStr" s="17">
        <is>
          <t xml:space="preserve">Forecast subscription revenue &gt; Enterprise</t>
        </is>
      </c>
      <c r="D83" t="e" s="8">
        <f>'Model inputs'!D110*'Model inputs'!B114</f>
        <v>#VALUE!</v>
      </c>
      <c r="E83" s="8">
        <f>'Model inputs'!E110*'Model inputs'!B114</f>
        <v>0</v>
      </c>
      <c r="F83" s="8">
        <f>'Model inputs'!F110*'Model inputs'!B114</f>
        <v>0</v>
      </c>
      <c r="G83" s="8">
        <f>'Model inputs'!G110*'Model inputs'!B114</f>
        <v>0</v>
      </c>
      <c r="H83" s="8">
        <f>'Model inputs'!H110*'Model inputs'!B114</f>
        <v>0</v>
      </c>
      <c r="I83" s="8">
        <f>'Model inputs'!I110*'Model inputs'!B114</f>
        <v>0</v>
      </c>
      <c r="J83" s="8">
        <f>'Model inputs'!J110*'Model inputs'!B114</f>
        <v>1500</v>
      </c>
      <c r="K83" s="8">
        <f>'Model inputs'!K110*'Model inputs'!B114</f>
        <v>1500</v>
      </c>
      <c r="L83" s="8">
        <f>'Model inputs'!L110*'Model inputs'!B114</f>
        <v>3000</v>
      </c>
      <c r="M83" s="8">
        <f>'Model inputs'!M110*'Model inputs'!B114</f>
        <v>3000</v>
      </c>
      <c r="N83" s="8">
        <f>'Model inputs'!N110*'Model inputs'!B114</f>
        <v>4500</v>
      </c>
      <c r="O83" s="8">
        <f>'Model inputs'!O110*'Model inputs'!B114</f>
        <v>4500</v>
      </c>
      <c r="P83" s="8">
        <f>'Model inputs'!P110*'Model inputs'!B114</f>
        <v>6000</v>
      </c>
    </row>
    <row r="84" outlineLevel="1">
      <c r="A84" t="inlineStr" s="17">
        <is>
          <t xml:space="preserve">Forecast subscription revenue &gt; Free</t>
        </is>
      </c>
      <c r="D84" t="e" s="8">
        <f>'Model inputs'!D111*'Model inputs'!B115</f>
        <v>#VALUE!</v>
      </c>
      <c r="E84" s="8">
        <f>'Model inputs'!E111*'Model inputs'!B115</f>
        <v>0</v>
      </c>
      <c r="F84" s="8">
        <f>'Model inputs'!F111*'Model inputs'!B115</f>
        <v>0</v>
      </c>
      <c r="G84" s="8">
        <f>'Model inputs'!G111*'Model inputs'!B115</f>
        <v>0</v>
      </c>
      <c r="H84" s="8">
        <f>'Model inputs'!H111*'Model inputs'!B115</f>
        <v>0</v>
      </c>
      <c r="I84" s="8">
        <f>'Model inputs'!I111*'Model inputs'!B115</f>
        <v>0</v>
      </c>
      <c r="J84" s="8">
        <f>'Model inputs'!J111*'Model inputs'!B115</f>
        <v>0</v>
      </c>
      <c r="K84" s="8">
        <f>'Model inputs'!K111*'Model inputs'!B115</f>
        <v>0</v>
      </c>
      <c r="L84" s="8">
        <f>'Model inputs'!L111*'Model inputs'!B115</f>
        <v>0</v>
      </c>
      <c r="M84" s="8">
        <f>'Model inputs'!M111*'Model inputs'!B115</f>
        <v>0</v>
      </c>
      <c r="N84" s="8">
        <f>'Model inputs'!N111*'Model inputs'!B115</f>
        <v>0</v>
      </c>
      <c r="O84" s="8">
        <f>'Model inputs'!O111*'Model inputs'!B115</f>
        <v>0</v>
      </c>
      <c r="P84" s="8">
        <f>'Model inputs'!P111*'Model inputs'!B115</f>
        <v>0</v>
      </c>
    </row>
    <row r="85" outlineLevel="1">
      <c r="A85" t="inlineStr" s="17">
        <is>
          <t xml:space="preserve">Forecast subscription revenue &gt; Team</t>
        </is>
      </c>
      <c r="D85" t="e" s="8">
        <f>'Model inputs'!D112*'Model inputs'!B116</f>
        <v>#VALUE!</v>
      </c>
      <c r="E85" s="8">
        <f>'Model inputs'!E112*'Model inputs'!B116</f>
        <v>395</v>
      </c>
      <c r="F85" s="8">
        <f>'Model inputs'!F112*'Model inputs'!B116</f>
        <v>1436.3636363636363</v>
      </c>
      <c r="G85" s="8">
        <f>'Model inputs'!G112*'Model inputs'!B116</f>
        <v>2477.7272727272725</v>
      </c>
      <c r="H85" s="8">
        <f>'Model inputs'!H112*'Model inputs'!B116</f>
        <v>3519.090909090909</v>
      </c>
      <c r="I85" s="8">
        <f>'Model inputs'!I112*'Model inputs'!B116</f>
        <v>4560.454545454545</v>
      </c>
      <c r="J85" s="8">
        <f>'Model inputs'!J112*'Model inputs'!B116</f>
        <v>5601.818181818182</v>
      </c>
      <c r="K85" s="8">
        <f>'Model inputs'!K112*'Model inputs'!B116</f>
        <v>6643.181818181818</v>
      </c>
      <c r="L85" s="8">
        <f>'Model inputs'!L112*'Model inputs'!B116</f>
        <v>7684.545454545454</v>
      </c>
      <c r="M85" s="8">
        <f>'Model inputs'!M112*'Model inputs'!B116</f>
        <v>8725.90909090909</v>
      </c>
      <c r="N85" s="8">
        <f>'Model inputs'!N112*'Model inputs'!B116</f>
        <v>9767.272727272728</v>
      </c>
      <c r="O85" s="8">
        <f>'Model inputs'!O112*'Model inputs'!B116</f>
        <v>10808.636363636364</v>
      </c>
      <c r="P85" s="8">
        <f>'Model inputs'!P112*'Model inputs'!B116</f>
        <v>11850</v>
      </c>
    </row>
    <row r="86">
      <c r="A86" t="inlineStr" s="16">
        <is>
          <t xml:space="preserve">Funding needed to date · 12-month forecast summary · Susanoo — Growth</t>
        </is>
      </c>
      <c r="C86" t="e" s="8">
        <f>MAX(IF(IF(IF(ISERROR('Model inputs'!C79=1),'Model inputs'!C79=1,IF('Model inputs'!C79="","",'Model inputs'!C79=1))="",FALSE,IF(ISERROR('Model inputs'!C79=1),'Model inputs'!C79=1,IF('Model inputs'!C79="","",'Model inputs'!C79=1))),0,""),MAX(-'Model inputs'!C77,0))</f>
        <v>#VALUE!</v>
      </c>
      <c r="D86" t="e" s="8">
        <f>IF('Model inputs'!D31="","",'Model inputs'!D31)</f>
        <v>#VALUE!</v>
      </c>
      <c r="E86" s="8">
        <f>IF('Model inputs'!E31="","",'Model inputs'!E31)</f>
        <v>120.25</v>
      </c>
      <c r="F86" s="8">
        <f>IF('Model inputs'!F31="","",'Model inputs'!F31)</f>
        <v>120.25</v>
      </c>
      <c r="G86" s="8">
        <f>IF('Model inputs'!G31="","",'Model inputs'!G31)</f>
        <v>120.25</v>
      </c>
      <c r="H86" s="8">
        <f>IF('Model inputs'!H31="","",'Model inputs'!H31)</f>
        <v>120.25</v>
      </c>
      <c r="I86" s="8">
        <f>IF('Model inputs'!I31="","",'Model inputs'!I31)</f>
        <v>120.25</v>
      </c>
      <c r="J86" s="8">
        <f>IF('Model inputs'!J31="","",'Model inputs'!J31)</f>
        <v>271.38636363636397</v>
      </c>
      <c r="K86" s="8">
        <f>IF('Model inputs'!K31="","",'Model inputs'!K31)</f>
        <v>3004.59090909091</v>
      </c>
      <c r="L86" s="8">
        <f>IF('Model inputs'!L31="","",'Model inputs'!L31)</f>
        <v>4052.4545454545478</v>
      </c>
      <c r="M86" s="8">
        <f>IF('Model inputs'!M31="","",'Model inputs'!M31)</f>
        <v>4759.977272727276</v>
      </c>
      <c r="N86" s="8">
        <f>IF('Model inputs'!N31="","",'Model inputs'!N31)</f>
        <v>4759.977272727276</v>
      </c>
      <c r="O86" s="8">
        <f>IF('Model inputs'!O31="","",'Model inputs'!O31)</f>
        <v>4759.977272727276</v>
      </c>
      <c r="P86" s="8">
        <f>IF('Model inputs'!P31="","",'Model inputs'!P31)</f>
        <v>4759.977272727276</v>
      </c>
    </row>
    <row r="87">
      <c r="A87" t="inlineStr" s="16">
        <is>
          <t xml:space="preserve">Model cost per run · Total cost per run · Customers revenue and run costs</t>
        </is>
      </c>
      <c r="B87" s="14">
        <f>1.5</f>
        <v>1.5</v>
      </c>
    </row>
    <row r="88">
      <c r="A88" t="inlineStr" s="16">
        <is>
          <t xml:space="preserve">neatlogs and Entire monthly cost · Fixed monthly overhead · Monthly revenue cost and runway</t>
        </is>
      </c>
      <c r="B88" s="14">
        <f>0</f>
        <v>0</v>
      </c>
    </row>
    <row r="89">
      <c r="A89" t="inlineStr" s="16">
        <is>
          <t xml:space="preserve">Net forecast profit · Forecast cash balance · Susanoo — Growth · Susanoo — Growth</t>
        </is>
      </c>
      <c r="C89" t="e" s="8">
        <f>'Model inputs'!C104-'Model inputs'!C108</f>
        <v>#VALUE!</v>
      </c>
      <c r="D89" t="e" s="8">
        <f>'Model inputs'!D29-'Model inputs'!D43</f>
        <v>#VALUE!</v>
      </c>
      <c r="E89" s="8">
        <f>'Model inputs'!E29-'Model inputs'!E43</f>
        <v>-120.25</v>
      </c>
      <c r="F89" s="8">
        <f>'Model inputs'!F29-'Model inputs'!F43</f>
        <v>220.090909090909</v>
      </c>
      <c r="G89" s="8">
        <f>'Model inputs'!G29-'Model inputs'!G43</f>
        <v>560.431818181818</v>
      </c>
      <c r="H89" s="8">
        <f>'Model inputs'!H29-'Model inputs'!H43</f>
        <v>900.772727272727</v>
      </c>
      <c r="I89" s="8">
        <f>'Model inputs'!I29-'Model inputs'!I43</f>
        <v>1241.113636363636</v>
      </c>
      <c r="J89" s="8">
        <f>'Model inputs'!J29-'Model inputs'!J43</f>
        <v>-3073.545454545454</v>
      </c>
      <c r="K89" s="8">
        <f>'Model inputs'!K29-'Model inputs'!K43</f>
        <v>-2733.204545454546</v>
      </c>
      <c r="L89" s="8">
        <f>'Model inputs'!L29-'Model inputs'!L43</f>
        <v>-1047.8636363636379</v>
      </c>
      <c r="M89" s="8">
        <f>'Model inputs'!M29-'Model inputs'!M43</f>
        <v>-707.5227272727279</v>
      </c>
      <c r="N89" s="8">
        <f>'Model inputs'!N29-'Model inputs'!N43</f>
        <v>977.818181818182</v>
      </c>
      <c r="O89" s="8">
        <f>'Model inputs'!O29-'Model inputs'!O43</f>
        <v>1318.159090909092</v>
      </c>
      <c r="P89" s="8">
        <f>'Model inputs'!P29-'Model inputs'!P43</f>
        <v>3003.5</v>
      </c>
    </row>
    <row r="90">
      <c r="A90" t="inlineStr" s="16">
        <is>
          <t xml:space="preserve">Sandbox cost per run · Total cost per run · Customers revenue and run costs</t>
        </is>
      </c>
      <c r="B90" s="14">
        <f>0.05</f>
        <v>0.05</v>
      </c>
    </row>
    <row r="91">
      <c r="A91" t="inlineStr" s="16">
        <is>
          <t xml:space="preserve">Starting forecast cash · Forecast cash balance · Susanoo — Growth · Susanoo — Growth</t>
        </is>
      </c>
      <c r="B91" s="8">
        <f>0</f>
        <v>0</v>
      </c>
    </row>
    <row r="92">
      <c r="A92" t="inlineStr" s="16">
        <is>
          <t xml:space="preserve">Supabase monthly cost · Fixed monthly overhead · Monthly revenue cost and runway</t>
        </is>
      </c>
      <c r="B92" s="14">
        <f>20</f>
        <v>20</v>
      </c>
    </row>
    <row r="93">
      <c r="A93" t="inlineStr" s="16">
        <is>
          <t xml:space="preserve">Vercel monthly cost · Fixed monthly overhead · Monthly revenue cost and runway</t>
        </is>
      </c>
      <c r="B93" s="14">
        <f>0</f>
        <v>0</v>
      </c>
    </row>
    <row r="94">
      <c r="A94" t="inlineStr" s="16">
        <is>
          <t xml:space="preserve">Fixed monthly overhead · Forecast fixed costs · Total forecast costs · Susanoo — Growth · Susanoo — Growth · Susanoo — Growth</t>
        </is>
      </c>
      <c r="B94" s="14">
        <f>'Model inputs'!B122+'Model inputs'!B138+'Model inputs'!B140+'Model inputs'!B121+'Model inputs'!B133</f>
        <v>89</v>
      </c>
    </row>
    <row r="95">
      <c r="A95" t="inlineStr" s="16">
        <is>
          <t xml:space="preserve">Forecast run costs</t>
        </is>
      </c>
      <c r="C95" t="e" s="6">
        <f>IF('Model inputs'!C80="","",'Model inputs'!C80)</f>
        <v>#VALUE!</v>
      </c>
      <c r="D95" t="e" s="6">
        <f>IF('Model inputs'!D80="","",'Model inputs'!D80)</f>
        <v>#VALUE!</v>
      </c>
      <c r="E95" s="6">
        <f>IF('Model inputs'!E80="","",'Model inputs'!E80)</f>
        <v>426.25</v>
      </c>
      <c r="F95" s="6">
        <f>IF('Model inputs'!F80="","",'Model inputs'!F80)</f>
        <v>1127.2727272727273</v>
      </c>
      <c r="G95" s="6">
        <f>IF('Model inputs'!G80="","",'Model inputs'!G80)</f>
        <v>1828.2954545454545</v>
      </c>
      <c r="H95" s="6">
        <f>IF('Model inputs'!H80="","",'Model inputs'!H80)</f>
        <v>2529.318181818182</v>
      </c>
      <c r="I95" s="6">
        <f>IF('Model inputs'!I80="","",'Model inputs'!I80)</f>
        <v>3230.340909090909</v>
      </c>
      <c r="J95" s="6">
        <f>IF('Model inputs'!J80="","",'Model inputs'!J80)</f>
        <v>4086.3636363636365</v>
      </c>
      <c r="K95" s="6">
        <f>IF('Model inputs'!K80="","",'Model inputs'!K80)</f>
        <v>4787.386363636364</v>
      </c>
      <c r="L95" s="6">
        <f>IF('Model inputs'!L80="","",'Model inputs'!L80)</f>
        <v>5643.409090909091</v>
      </c>
      <c r="M95" s="6">
        <f>IF('Model inputs'!M80="","",'Model inputs'!M80)</f>
        <v>6344.431818181818</v>
      </c>
      <c r="N95" s="6">
        <f>IF('Model inputs'!N80="","",'Model inputs'!N80)</f>
        <v>7200.454545454546</v>
      </c>
      <c r="O95" s="6">
        <f>IF('Model inputs'!O80="","",'Model inputs'!O80)</f>
        <v>7901.477272727273</v>
      </c>
      <c r="P95" s="6">
        <f>IF('Model inputs'!P80="","",'Model inputs'!P80)</f>
        <v>8757.5</v>
      </c>
    </row>
    <row r="96" outlineLevel="1">
      <c r="A96" t="inlineStr" s="17">
        <is>
          <t xml:space="preserve">Forecast run costs &gt; Enterprise</t>
        </is>
      </c>
      <c r="C96" t="e" s="8">
        <f>'Model inputs'!C110*'Model inputs'!B125*'Model inputs'!B139</f>
        <v>#VALUE!</v>
      </c>
      <c r="D96" t="e" s="8">
        <f>'Model inputs'!D110*'Model inputs'!B125*'Model inputs'!B139</f>
        <v>#VALUE!</v>
      </c>
      <c r="E96" s="8">
        <f>'Model inputs'!E110*'Model inputs'!B125*'Model inputs'!B139</f>
        <v>0</v>
      </c>
      <c r="F96" s="8">
        <f>'Model inputs'!F110*'Model inputs'!B125*'Model inputs'!B139</f>
        <v>0</v>
      </c>
      <c r="G96" s="8">
        <f>'Model inputs'!G110*'Model inputs'!B125*'Model inputs'!B139</f>
        <v>0</v>
      </c>
      <c r="H96" s="8">
        <f>'Model inputs'!H110*'Model inputs'!B125*'Model inputs'!B139</f>
        <v>0</v>
      </c>
      <c r="I96" s="8">
        <f>'Model inputs'!I110*'Model inputs'!B125*'Model inputs'!B139</f>
        <v>0</v>
      </c>
      <c r="J96" s="8">
        <f>'Model inputs'!J110*'Model inputs'!B125*'Model inputs'!B139</f>
        <v>155</v>
      </c>
      <c r="K96" s="8">
        <f>'Model inputs'!K110*'Model inputs'!B125*'Model inputs'!B139</f>
        <v>155</v>
      </c>
      <c r="L96" s="8">
        <f>'Model inputs'!L110*'Model inputs'!B125*'Model inputs'!B139</f>
        <v>310</v>
      </c>
      <c r="M96" s="8">
        <f>'Model inputs'!M110*'Model inputs'!B125*'Model inputs'!B139</f>
        <v>310</v>
      </c>
      <c r="N96" s="8">
        <f>'Model inputs'!N110*'Model inputs'!B125*'Model inputs'!B139</f>
        <v>465</v>
      </c>
      <c r="O96" s="8">
        <f>'Model inputs'!O110*'Model inputs'!B125*'Model inputs'!B139</f>
        <v>465</v>
      </c>
      <c r="P96" s="8">
        <f>'Model inputs'!P110*'Model inputs'!B125*'Model inputs'!B139</f>
        <v>620</v>
      </c>
    </row>
    <row r="97" outlineLevel="1">
      <c r="A97" t="inlineStr" s="17">
        <is>
          <t xml:space="preserve">Forecast run costs &gt; Free</t>
        </is>
      </c>
      <c r="C97" t="e" s="8">
        <f>'Model inputs'!C111*'Model inputs'!B126*'Model inputs'!B139</f>
        <v>#VALUE!</v>
      </c>
      <c r="D97" t="e" s="8">
        <f>'Model inputs'!D111*'Model inputs'!B126*'Model inputs'!B139</f>
        <v>#VALUE!</v>
      </c>
      <c r="E97" s="8">
        <f>'Model inputs'!E111*'Model inputs'!B126*'Model inputs'!B139</f>
        <v>310</v>
      </c>
      <c r="F97" s="8">
        <f>'Model inputs'!F111*'Model inputs'!B126*'Model inputs'!B139</f>
        <v>704.5454545454545</v>
      </c>
      <c r="G97" s="8">
        <f>'Model inputs'!G111*'Model inputs'!B126*'Model inputs'!B139</f>
        <v>1099.090909090909</v>
      </c>
      <c r="H97" s="8">
        <f>'Model inputs'!H111*'Model inputs'!B126*'Model inputs'!B139</f>
        <v>1493.6363636363637</v>
      </c>
      <c r="I97" s="8">
        <f>'Model inputs'!I111*'Model inputs'!B126*'Model inputs'!B139</f>
        <v>1888.181818181818</v>
      </c>
      <c r="J97" s="8">
        <f>'Model inputs'!J111*'Model inputs'!B126*'Model inputs'!B139</f>
        <v>2282.727272727273</v>
      </c>
      <c r="K97" s="8">
        <f>'Model inputs'!K111*'Model inputs'!B126*'Model inputs'!B139</f>
        <v>2677.2727272727275</v>
      </c>
      <c r="L97" s="8">
        <f>'Model inputs'!L111*'Model inputs'!B126*'Model inputs'!B139</f>
        <v>3071.818181818182</v>
      </c>
      <c r="M97" s="8">
        <f>'Model inputs'!M111*'Model inputs'!B126*'Model inputs'!B139</f>
        <v>3466.363636363636</v>
      </c>
      <c r="N97" s="8">
        <f>'Model inputs'!N111*'Model inputs'!B126*'Model inputs'!B139</f>
        <v>3860.909090909091</v>
      </c>
      <c r="O97" s="8">
        <f>'Model inputs'!O111*'Model inputs'!B126*'Model inputs'!B139</f>
        <v>4255.454545454546</v>
      </c>
      <c r="P97" s="8">
        <f>'Model inputs'!P111*'Model inputs'!B126*'Model inputs'!B139</f>
        <v>4650</v>
      </c>
    </row>
    <row r="98" outlineLevel="1">
      <c r="A98" t="inlineStr" s="17">
        <is>
          <t xml:space="preserve">Forecast run costs &gt; Team</t>
        </is>
      </c>
      <c r="C98" t="e" s="8">
        <f>'Model inputs'!C112*'Model inputs'!B127*'Model inputs'!B139</f>
        <v>#VALUE!</v>
      </c>
      <c r="D98" t="e" s="8">
        <f>'Model inputs'!D112*'Model inputs'!B127*'Model inputs'!B139</f>
        <v>#VALUE!</v>
      </c>
      <c r="E98" s="8">
        <f>'Model inputs'!E112*'Model inputs'!B127*'Model inputs'!B139</f>
        <v>116.25</v>
      </c>
      <c r="F98" s="8">
        <f>'Model inputs'!F112*'Model inputs'!B127*'Model inputs'!B139</f>
        <v>422.7272727272727</v>
      </c>
      <c r="G98" s="8">
        <f>'Model inputs'!G112*'Model inputs'!B127*'Model inputs'!B139</f>
        <v>729.2045454545455</v>
      </c>
      <c r="H98" s="8">
        <f>'Model inputs'!H112*'Model inputs'!B127*'Model inputs'!B139</f>
        <v>1035.6818181818182</v>
      </c>
      <c r="I98" s="8">
        <f>'Model inputs'!I112*'Model inputs'!B127*'Model inputs'!B139</f>
        <v>1342.159090909091</v>
      </c>
      <c r="J98" s="8">
        <f>'Model inputs'!J112*'Model inputs'!B127*'Model inputs'!B139</f>
        <v>1648.6363636363635</v>
      </c>
      <c r="K98" s="8">
        <f>'Model inputs'!K112*'Model inputs'!B127*'Model inputs'!B139</f>
        <v>1955.1136363636367</v>
      </c>
      <c r="L98" s="8">
        <f>'Model inputs'!L112*'Model inputs'!B127*'Model inputs'!B139</f>
        <v>2261.590909090909</v>
      </c>
      <c r="M98" s="8">
        <f>'Model inputs'!M112*'Model inputs'!B127*'Model inputs'!B139</f>
        <v>2568.068181818182</v>
      </c>
      <c r="N98" s="8">
        <f>'Model inputs'!N112*'Model inputs'!B127*'Model inputs'!B139</f>
        <v>2874.5454545454545</v>
      </c>
      <c r="O98" s="8">
        <f>'Model inputs'!O112*'Model inputs'!B127*'Model inputs'!B139</f>
        <v>3181.022727272727</v>
      </c>
      <c r="P98" s="8">
        <f>'Model inputs'!P112*'Model inputs'!B127*'Model inputs'!B139</f>
        <v>3487.5</v>
      </c>
    </row>
    <row r="99">
      <c r="A99" t="inlineStr" s="16">
        <is>
          <t xml:space="preserve">Forecast salaries</t>
        </is>
      </c>
      <c r="C99" t="e" s="6">
        <f>IF('Model inputs'!C81="","",'Model inputs'!C81)</f>
        <v>#VALUE!</v>
      </c>
      <c r="D99" t="e" s="6">
        <f>IF('Model inputs'!D81="","",'Model inputs'!D81)</f>
        <v>#VALUE!</v>
      </c>
      <c r="E99" s="6">
        <f>IF('Model inputs'!E81="","",'Model inputs'!E81)</f>
        <v>0</v>
      </c>
      <c r="F99" s="6">
        <f>IF('Model inputs'!F81="","",'Model inputs'!F81)</f>
        <v>0</v>
      </c>
      <c r="G99" s="6">
        <f>IF('Model inputs'!G81="","",'Model inputs'!G81)</f>
        <v>0</v>
      </c>
      <c r="H99" s="6">
        <f>IF('Model inputs'!H81="","",'Model inputs'!H81)</f>
        <v>0</v>
      </c>
      <c r="I99" s="6">
        <f>IF('Model inputs'!I81="","",'Model inputs'!I81)</f>
        <v>0</v>
      </c>
      <c r="J99" s="6">
        <f>IF('Model inputs'!J81="","",'Model inputs'!J81)</f>
        <v>6000</v>
      </c>
      <c r="K99" s="6">
        <f>IF('Model inputs'!K81="","",'Model inputs'!K81)</f>
        <v>6000</v>
      </c>
      <c r="L99" s="6">
        <f>IF('Model inputs'!L81="","",'Model inputs'!L81)</f>
        <v>6000</v>
      </c>
      <c r="M99" s="6">
        <f>IF('Model inputs'!M81="","",'Model inputs'!M81)</f>
        <v>6000</v>
      </c>
      <c r="N99" s="6">
        <f>IF('Model inputs'!N81="","",'Model inputs'!N81)</f>
        <v>6000</v>
      </c>
      <c r="O99" s="6">
        <f>IF('Model inputs'!O81="","",'Model inputs'!O81)</f>
        <v>6000</v>
      </c>
      <c r="P99" s="6">
        <f>IF('Model inputs'!P81="","",'Model inputs'!P81)</f>
        <v>6000</v>
      </c>
    </row>
    <row r="100" outlineLevel="1">
      <c r="A100" t="inlineStr" s="17">
        <is>
          <t xml:space="preserve">Forecast salaries &gt; Founder 1</t>
        </is>
      </c>
      <c r="C100" t="e" s="8">
        <f>'Model inputs'!C129*'Model inputs'!B142</f>
        <v>#VALUE!</v>
      </c>
      <c r="D100" t="e" s="8">
        <f>'Model inputs'!D129*'Model inputs'!B142</f>
        <v>#VALUE!</v>
      </c>
      <c r="E100" s="8">
        <f>'Model inputs'!E129*'Model inputs'!B142</f>
        <v>0</v>
      </c>
      <c r="F100" s="8">
        <f>'Model inputs'!F129*'Model inputs'!B142</f>
        <v>0</v>
      </c>
      <c r="G100" s="8">
        <f>'Model inputs'!G129*'Model inputs'!B142</f>
        <v>0</v>
      </c>
      <c r="H100" s="8">
        <f>'Model inputs'!H129*'Model inputs'!B142</f>
        <v>0</v>
      </c>
      <c r="I100" s="8">
        <f>'Model inputs'!I129*'Model inputs'!B142</f>
        <v>0</v>
      </c>
      <c r="J100" s="8">
        <f>'Model inputs'!J129*'Model inputs'!B142</f>
        <v>0</v>
      </c>
      <c r="K100" s="8">
        <f>'Model inputs'!K129*'Model inputs'!B142</f>
        <v>0</v>
      </c>
      <c r="L100" s="8">
        <f>'Model inputs'!L129*'Model inputs'!B142</f>
        <v>0</v>
      </c>
      <c r="M100" s="8">
        <f>'Model inputs'!M129*'Model inputs'!B142</f>
        <v>0</v>
      </c>
      <c r="N100" s="8">
        <f>'Model inputs'!N129*'Model inputs'!B142</f>
        <v>0</v>
      </c>
      <c r="O100" s="8">
        <f>'Model inputs'!O129*'Model inputs'!B142</f>
        <v>0</v>
      </c>
      <c r="P100" s="8">
        <f>'Model inputs'!P129*'Model inputs'!B142</f>
        <v>0</v>
      </c>
    </row>
    <row r="101" outlineLevel="1">
      <c r="A101" t="inlineStr" s="17">
        <is>
          <t xml:space="preserve">Forecast salaries &gt; Founder 2</t>
        </is>
      </c>
      <c r="C101" t="e" s="8">
        <f>'Model inputs'!C130*'Model inputs'!B143</f>
        <v>#VALUE!</v>
      </c>
      <c r="D101" t="e" s="8">
        <f>'Model inputs'!D130*'Model inputs'!B143</f>
        <v>#VALUE!</v>
      </c>
      <c r="E101" s="8">
        <f>'Model inputs'!E130*'Model inputs'!B143</f>
        <v>0</v>
      </c>
      <c r="F101" s="8">
        <f>'Model inputs'!F130*'Model inputs'!B143</f>
        <v>0</v>
      </c>
      <c r="G101" s="8">
        <f>'Model inputs'!G130*'Model inputs'!B143</f>
        <v>0</v>
      </c>
      <c r="H101" s="8">
        <f>'Model inputs'!H130*'Model inputs'!B143</f>
        <v>0</v>
      </c>
      <c r="I101" s="8">
        <f>'Model inputs'!I130*'Model inputs'!B143</f>
        <v>0</v>
      </c>
      <c r="J101" s="8">
        <f>'Model inputs'!J130*'Model inputs'!B143</f>
        <v>0</v>
      </c>
      <c r="K101" s="8">
        <f>'Model inputs'!K130*'Model inputs'!B143</f>
        <v>0</v>
      </c>
      <c r="L101" s="8">
        <f>'Model inputs'!L130*'Model inputs'!B143</f>
        <v>0</v>
      </c>
      <c r="M101" s="8">
        <f>'Model inputs'!M130*'Model inputs'!B143</f>
        <v>0</v>
      </c>
      <c r="N101" s="8">
        <f>'Model inputs'!N130*'Model inputs'!B143</f>
        <v>0</v>
      </c>
      <c r="O101" s="8">
        <f>'Model inputs'!O130*'Model inputs'!B143</f>
        <v>0</v>
      </c>
      <c r="P101" s="8">
        <f>'Model inputs'!P130*'Model inputs'!B143</f>
        <v>0</v>
      </c>
    </row>
    <row r="102" outlineLevel="1">
      <c r="A102" t="inlineStr" s="17">
        <is>
          <t xml:space="preserve">Forecast salaries &gt; Planned engineer</t>
        </is>
      </c>
      <c r="C102" t="e" s="8">
        <f>'Model inputs'!C131*'Model inputs'!B144</f>
        <v>#VALUE!</v>
      </c>
      <c r="D102" t="e" s="8">
        <f>'Model inputs'!D131*'Model inputs'!B144</f>
        <v>#VALUE!</v>
      </c>
      <c r="E102" s="8">
        <f>'Model inputs'!E131*'Model inputs'!B144</f>
        <v>0</v>
      </c>
      <c r="F102" s="8">
        <f>'Model inputs'!F131*'Model inputs'!B144</f>
        <v>0</v>
      </c>
      <c r="G102" s="8">
        <f>'Model inputs'!G131*'Model inputs'!B144</f>
        <v>0</v>
      </c>
      <c r="H102" s="8">
        <f>'Model inputs'!H131*'Model inputs'!B144</f>
        <v>0</v>
      </c>
      <c r="I102" s="8">
        <f>'Model inputs'!I131*'Model inputs'!B144</f>
        <v>0</v>
      </c>
      <c r="J102" s="8">
        <f>'Model inputs'!J131*'Model inputs'!B144</f>
        <v>6000</v>
      </c>
      <c r="K102" s="8">
        <f>'Model inputs'!K131*'Model inputs'!B144</f>
        <v>6000</v>
      </c>
      <c r="L102" s="8">
        <f>'Model inputs'!L131*'Model inputs'!B144</f>
        <v>6000</v>
      </c>
      <c r="M102" s="8">
        <f>'Model inputs'!M131*'Model inputs'!B144</f>
        <v>6000</v>
      </c>
      <c r="N102" s="8">
        <f>'Model inputs'!N131*'Model inputs'!B144</f>
        <v>6000</v>
      </c>
      <c r="O102" s="8">
        <f>'Model inputs'!O131*'Model inputs'!B144</f>
        <v>6000</v>
      </c>
      <c r="P102" s="8">
        <f>'Model inputs'!P131*'Model inputs'!B144</f>
        <v>6000</v>
      </c>
    </row>
    <row r="103">
      <c r="A103" t="inlineStr" s="16">
        <is>
          <t xml:space="preserve">Forecast start date · Forecast month · Forecast cash balance · Susanoo — Growth · Susanoo — Growth · Susanoo — Growth</t>
        </is>
      </c>
      <c r="B103" s="18">
        <f>DATE(2026,11,1)</f>
        <v>46327</v>
      </c>
    </row>
    <row r="104">
      <c r="A104" t="inlineStr" s="16">
        <is>
          <t xml:space="preserve">Forecast subscription revenue</t>
        </is>
      </c>
      <c r="C104" t="e" s="6">
        <f>SUM('Model inputs'!C105,'Model inputs'!C106,'Model inputs'!C107)</f>
        <v>#VALUE!</v>
      </c>
      <c r="D104" t="e" s="6">
        <f>IF('Model inputs'!D29="","",'Model inputs'!D29)</f>
        <v>#VALUE!</v>
      </c>
      <c r="E104" s="6">
        <f>IF('Model inputs'!E29="","",'Model inputs'!E29)</f>
        <v>395</v>
      </c>
      <c r="F104" s="6">
        <f>IF('Model inputs'!F29="","",'Model inputs'!F29)</f>
        <v>1436.3636363636363</v>
      </c>
      <c r="G104" s="6">
        <f>IF('Model inputs'!G29="","",'Model inputs'!G29)</f>
        <v>2477.7272727272725</v>
      </c>
      <c r="H104" s="6">
        <f>IF('Model inputs'!H29="","",'Model inputs'!H29)</f>
        <v>3519.090909090909</v>
      </c>
      <c r="I104" s="6">
        <f>IF('Model inputs'!I29="","",'Model inputs'!I29)</f>
        <v>4560.454545454545</v>
      </c>
      <c r="J104" s="6">
        <f>IF('Model inputs'!J29="","",'Model inputs'!J29)</f>
        <v>7101.818181818182</v>
      </c>
      <c r="K104" s="6">
        <f>IF('Model inputs'!K29="","",'Model inputs'!K29)</f>
        <v>8143.181818181818</v>
      </c>
      <c r="L104" s="6">
        <f>IF('Model inputs'!L29="","",'Model inputs'!L29)</f>
        <v>10684.545454545454</v>
      </c>
      <c r="M104" s="6">
        <f>IF('Model inputs'!M29="","",'Model inputs'!M29)</f>
        <v>11725.90909090909</v>
      </c>
      <c r="N104" s="6">
        <f>IF('Model inputs'!N29="","",'Model inputs'!N29)</f>
        <v>14267.272727272728</v>
      </c>
      <c r="O104" s="6">
        <f>IF('Model inputs'!O29="","",'Model inputs'!O29)</f>
        <v>15308.636363636364</v>
      </c>
      <c r="P104" s="6">
        <f>IF('Model inputs'!P29="","",'Model inputs'!P29)</f>
        <v>17850</v>
      </c>
    </row>
    <row r="105" outlineLevel="1">
      <c r="A105" t="inlineStr" s="17">
        <is>
          <t xml:space="preserve">Forecast subscription revenue &gt; Enterprise</t>
        </is>
      </c>
      <c r="C105" t="e" s="8">
        <f>'Model inputs'!C110*'Model inputs'!B114</f>
        <v>#VALUE!</v>
      </c>
      <c r="D105" t="e" s="8">
        <f>IF('Model inputs'!D83="","",'Model inputs'!D83)</f>
        <v>#VALUE!</v>
      </c>
      <c r="E105" s="8">
        <f>IF('Model inputs'!E83="","",'Model inputs'!E83)</f>
        <v>0</v>
      </c>
      <c r="F105" s="8">
        <f>IF('Model inputs'!F83="","",'Model inputs'!F83)</f>
        <v>0</v>
      </c>
      <c r="G105" s="8">
        <f>IF('Model inputs'!G83="","",'Model inputs'!G83)</f>
        <v>0</v>
      </c>
      <c r="H105" s="8">
        <f>IF('Model inputs'!H83="","",'Model inputs'!H83)</f>
        <v>0</v>
      </c>
      <c r="I105" s="8">
        <f>IF('Model inputs'!I83="","",'Model inputs'!I83)</f>
        <v>0</v>
      </c>
      <c r="J105" s="8">
        <f>IF('Model inputs'!J83="","",'Model inputs'!J83)</f>
        <v>1500</v>
      </c>
      <c r="K105" s="8">
        <f>IF('Model inputs'!K83="","",'Model inputs'!K83)</f>
        <v>1500</v>
      </c>
      <c r="L105" s="8">
        <f>IF('Model inputs'!L83="","",'Model inputs'!L83)</f>
        <v>3000</v>
      </c>
      <c r="M105" s="8">
        <f>IF('Model inputs'!M83="","",'Model inputs'!M83)</f>
        <v>3000</v>
      </c>
      <c r="N105" s="8">
        <f>IF('Model inputs'!N83="","",'Model inputs'!N83)</f>
        <v>4500</v>
      </c>
      <c r="O105" s="8">
        <f>IF('Model inputs'!O83="","",'Model inputs'!O83)</f>
        <v>4500</v>
      </c>
      <c r="P105" s="8">
        <f>IF('Model inputs'!P83="","",'Model inputs'!P83)</f>
        <v>6000</v>
      </c>
    </row>
    <row r="106" outlineLevel="1">
      <c r="A106" t="inlineStr" s="17">
        <is>
          <t xml:space="preserve">Forecast subscription revenue &gt; Free</t>
        </is>
      </c>
      <c r="C106" t="e" s="8">
        <f>'Model inputs'!C111*'Model inputs'!B115</f>
        <v>#VALUE!</v>
      </c>
      <c r="D106" t="e" s="8">
        <f>IF('Model inputs'!D84="","",'Model inputs'!D84)</f>
        <v>#VALUE!</v>
      </c>
      <c r="E106" s="8">
        <f>IF('Model inputs'!E84="","",'Model inputs'!E84)</f>
        <v>0</v>
      </c>
      <c r="F106" s="8">
        <f>IF('Model inputs'!F84="","",'Model inputs'!F84)</f>
        <v>0</v>
      </c>
      <c r="G106" s="8">
        <f>IF('Model inputs'!G84="","",'Model inputs'!G84)</f>
        <v>0</v>
      </c>
      <c r="H106" s="8">
        <f>IF('Model inputs'!H84="","",'Model inputs'!H84)</f>
        <v>0</v>
      </c>
      <c r="I106" s="8">
        <f>IF('Model inputs'!I84="","",'Model inputs'!I84)</f>
        <v>0</v>
      </c>
      <c r="J106" s="8">
        <f>IF('Model inputs'!J84="","",'Model inputs'!J84)</f>
        <v>0</v>
      </c>
      <c r="K106" s="8">
        <f>IF('Model inputs'!K84="","",'Model inputs'!K84)</f>
        <v>0</v>
      </c>
      <c r="L106" s="8">
        <f>IF('Model inputs'!L84="","",'Model inputs'!L84)</f>
        <v>0</v>
      </c>
      <c r="M106" s="8">
        <f>IF('Model inputs'!M84="","",'Model inputs'!M84)</f>
        <v>0</v>
      </c>
      <c r="N106" s="8">
        <f>IF('Model inputs'!N84="","",'Model inputs'!N84)</f>
        <v>0</v>
      </c>
      <c r="O106" s="8">
        <f>IF('Model inputs'!O84="","",'Model inputs'!O84)</f>
        <v>0</v>
      </c>
      <c r="P106" s="8">
        <f>IF('Model inputs'!P84="","",'Model inputs'!P84)</f>
        <v>0</v>
      </c>
    </row>
    <row r="107" outlineLevel="1">
      <c r="A107" t="inlineStr" s="17">
        <is>
          <t xml:space="preserve">Forecast subscription revenue &gt; Team</t>
        </is>
      </c>
      <c r="C107" t="e" s="8">
        <f>'Model inputs'!C112*'Model inputs'!B116</f>
        <v>#VALUE!</v>
      </c>
      <c r="D107" t="e" s="8">
        <f>IF('Model inputs'!D85="","",'Model inputs'!D85)</f>
        <v>#VALUE!</v>
      </c>
      <c r="E107" s="8">
        <f>IF('Model inputs'!E85="","",'Model inputs'!E85)</f>
        <v>395</v>
      </c>
      <c r="F107" s="8">
        <f>IF('Model inputs'!F85="","",'Model inputs'!F85)</f>
        <v>1436.3636363636363</v>
      </c>
      <c r="G107" s="8">
        <f>IF('Model inputs'!G85="","",'Model inputs'!G85)</f>
        <v>2477.7272727272725</v>
      </c>
      <c r="H107" s="8">
        <f>IF('Model inputs'!H85="","",'Model inputs'!H85)</f>
        <v>3519.090909090909</v>
      </c>
      <c r="I107" s="8">
        <f>IF('Model inputs'!I85="","",'Model inputs'!I85)</f>
        <v>4560.454545454545</v>
      </c>
      <c r="J107" s="8">
        <f>IF('Model inputs'!J85="","",'Model inputs'!J85)</f>
        <v>5601.818181818182</v>
      </c>
      <c r="K107" s="8">
        <f>IF('Model inputs'!K85="","",'Model inputs'!K85)</f>
        <v>6643.181818181818</v>
      </c>
      <c r="L107" s="8">
        <f>IF('Model inputs'!L85="","",'Model inputs'!L85)</f>
        <v>7684.545454545454</v>
      </c>
      <c r="M107" s="8">
        <f>IF('Model inputs'!M85="","",'Model inputs'!M85)</f>
        <v>8725.90909090909</v>
      </c>
      <c r="N107" s="8">
        <f>IF('Model inputs'!N85="","",'Model inputs'!N85)</f>
        <v>9767.272727272728</v>
      </c>
      <c r="O107" s="8">
        <f>IF('Model inputs'!O85="","",'Model inputs'!O85)</f>
        <v>10808.636363636364</v>
      </c>
      <c r="P107" s="8">
        <f>IF('Model inputs'!P85="","",'Model inputs'!P85)</f>
        <v>11850</v>
      </c>
    </row>
    <row r="108">
      <c r="A108" t="inlineStr" s="16">
        <is>
          <t xml:space="preserve">Total forecast costs · Forecast cash balance · 12-month forecast summary · Susanoo — Growth · Susanoo — Growth</t>
        </is>
      </c>
      <c r="C108" t="e" s="8">
        <f>'Model inputs'!C80+'Model inputs'!C78+'Model inputs'!C81</f>
        <v>#VALUE!</v>
      </c>
      <c r="D108" t="e" s="8">
        <f>IF('Model inputs'!D43="","",'Model inputs'!D43)</f>
        <v>#VALUE!</v>
      </c>
      <c r="E108" s="8">
        <f>IF('Model inputs'!E43="","",'Model inputs'!E43)</f>
        <v>515.25</v>
      </c>
      <c r="F108" s="8">
        <f>IF('Model inputs'!F43="","",'Model inputs'!F43)</f>
        <v>1216.2727272727273</v>
      </c>
      <c r="G108" s="8">
        <f>IF('Model inputs'!G43="","",'Model inputs'!G43)</f>
        <v>1917.2954545454545</v>
      </c>
      <c r="H108" s="8">
        <f>IF('Model inputs'!H43="","",'Model inputs'!H43)</f>
        <v>2618.318181818182</v>
      </c>
      <c r="I108" s="8">
        <f>IF('Model inputs'!I43="","",'Model inputs'!I43)</f>
        <v>3319.340909090909</v>
      </c>
      <c r="J108" s="8">
        <f>IF('Model inputs'!J43="","",'Model inputs'!J43)</f>
        <v>10175.363636363636</v>
      </c>
      <c r="K108" s="8">
        <f>IF('Model inputs'!K43="","",'Model inputs'!K43)</f>
        <v>10876.386363636364</v>
      </c>
      <c r="L108" s="8">
        <f>IF('Model inputs'!L43="","",'Model inputs'!L43)</f>
        <v>11732.409090909092</v>
      </c>
      <c r="M108" s="8">
        <f>IF('Model inputs'!M43="","",'Model inputs'!M43)</f>
        <v>12433.431818181818</v>
      </c>
      <c r="N108" s="8">
        <f>IF('Model inputs'!N43="","",'Model inputs'!N43)</f>
        <v>13289.454545454546</v>
      </c>
      <c r="O108" s="8">
        <f>IF('Model inputs'!O43="","",'Model inputs'!O43)</f>
        <v>13990.477272727272</v>
      </c>
      <c r="P108" s="8">
        <f>IF('Model inputs'!P43="","",'Model inputs'!P43)</f>
        <v>14846.5</v>
      </c>
    </row>
    <row r="109">
      <c r="A109" t="inlineStr" s="16">
        <is>
          <t xml:space="preserve">Forecast customers</t>
        </is>
      </c>
      <c r="C109" t="e" s="12">
        <f>SUM('Model inputs'!C110,'Model inputs'!C111,'Model inputs'!C112)</f>
        <v>#VALUE!</v>
      </c>
      <c r="D109" t="e" s="12">
        <f>SUM('Model inputs'!D110,'Model inputs'!D111,'Model inputs'!D112)</f>
        <v>#VALUE!</v>
      </c>
      <c r="E109" s="12">
        <f>SUM('Model inputs'!E110,'Model inputs'!E111,'Model inputs'!E112)</f>
        <v>105</v>
      </c>
      <c r="F109" s="12">
        <f>SUM('Model inputs'!F110,'Model inputs'!F111,'Model inputs'!F112)</f>
        <v>245.45454545454544</v>
      </c>
      <c r="G109" s="12">
        <f>SUM('Model inputs'!G110,'Model inputs'!G111,'Model inputs'!G112)</f>
        <v>385.9090909090909</v>
      </c>
      <c r="H109" s="12">
        <f>SUM('Model inputs'!H110,'Model inputs'!H111,'Model inputs'!H112)</f>
        <v>526.3636363636364</v>
      </c>
      <c r="I109" s="12">
        <f>SUM('Model inputs'!I110,'Model inputs'!I111,'Model inputs'!I112)</f>
        <v>666.8181818181818</v>
      </c>
      <c r="J109" s="12">
        <f>SUM('Model inputs'!J110,'Model inputs'!J111,'Model inputs'!J112)</f>
        <v>808.2727272727273</v>
      </c>
      <c r="K109" s="12">
        <f>SUM('Model inputs'!K110,'Model inputs'!K111,'Model inputs'!K112)</f>
        <v>948.7272727272727</v>
      </c>
      <c r="L109" s="12">
        <f>SUM('Model inputs'!L110,'Model inputs'!L111,'Model inputs'!L112)</f>
        <v>1090.1818181818182</v>
      </c>
      <c r="M109" s="12">
        <f>SUM('Model inputs'!M110,'Model inputs'!M111,'Model inputs'!M112)</f>
        <v>1230.6363636363635</v>
      </c>
      <c r="N109" s="12">
        <f>SUM('Model inputs'!N110,'Model inputs'!N111,'Model inputs'!N112)</f>
        <v>1372.0909090909092</v>
      </c>
      <c r="O109" s="12">
        <f>SUM('Model inputs'!O110,'Model inputs'!O111,'Model inputs'!O112)</f>
        <v>1512.5454545454545</v>
      </c>
      <c r="P109" s="12">
        <f>SUM('Model inputs'!P110,'Model inputs'!P111,'Model inputs'!P112)</f>
        <v>1654</v>
      </c>
    </row>
    <row r="110" outlineLevel="1">
      <c r="A110" t="inlineStr" s="17">
        <is>
          <t xml:space="preserve">Forecast customers &gt; Enterprise</t>
        </is>
      </c>
      <c r="C110" t="e" s="14">
        <f>IF(EXACT("Enterprise","Enterprise"),IF(IF(IF(ISERROR('Model inputs'!C79=1),'Model inputs'!C79=1,IF('Model inputs'!C79="","",'Model inputs'!C79=1))="",FALSE,IF(ISERROR('Model inputs'!C79=1),'Model inputs'!C79=1,IF('Model inputs'!C79="","",'Model inputs'!C79=1))),IF('Model inputs'!C123="","",'Model inputs'!C123),0+'Model inputs'!C123),'Model inputs'!B135+('Model inputs'!B118-'Model inputs'!B135)*('Model inputs'!C79-1)/('Model inputs'!Q20-1))</f>
        <v>#VALUE!</v>
      </c>
      <c r="D110" t="e" s="14">
        <f>IF(EXACT("Enterprise","Enterprise"),IF(IF(IF(ISERROR('Model inputs'!D79=1),'Model inputs'!D79=1,IF('Model inputs'!D79="","",'Model inputs'!D79=1))="",FALSE,IF(ISERROR('Model inputs'!D79=1),'Model inputs'!D79=1,IF('Model inputs'!D79="","",'Model inputs'!D79=1))),IF('Model inputs'!D123="","",'Model inputs'!D123),'Model inputs'!C110+'Model inputs'!D123),'Model inputs'!B135+('Model inputs'!B118-'Model inputs'!B135)*('Model inputs'!D79-1)/('Model inputs'!Q20-1))</f>
        <v>#VALUE!</v>
      </c>
      <c r="E110" s="14">
        <f>IF(EXACT("Enterprise","Enterprise"),IF(IF(IF(ISERROR('Model inputs'!E79=1),'Model inputs'!E79=1,IF('Model inputs'!E79="","",'Model inputs'!E79=1))="",FALSE,IF(ISERROR('Model inputs'!E79=1),'Model inputs'!E79=1,IF('Model inputs'!E79="","",'Model inputs'!E79=1))),IF('Model inputs'!E123="","",'Model inputs'!E123),'Model inputs'!D110+'Model inputs'!E123),'Model inputs'!B135+('Model inputs'!B118-'Model inputs'!B135)*('Model inputs'!E79-1)/('Model inputs'!Q20-1))</f>
        <v>0</v>
      </c>
      <c r="F110" s="14">
        <f>IF(EXACT("Enterprise","Enterprise"),IF(IF(IF(ISERROR('Model inputs'!F79=1),'Model inputs'!F79=1,IF('Model inputs'!F79="","",'Model inputs'!F79=1))="",FALSE,IF(ISERROR('Model inputs'!F79=1),'Model inputs'!F79=1,IF('Model inputs'!F79="","",'Model inputs'!F79=1))),IF('Model inputs'!F123="","",'Model inputs'!F123),'Model inputs'!E110+'Model inputs'!F123),'Model inputs'!B135+('Model inputs'!B118-'Model inputs'!B135)*('Model inputs'!F79-1)/('Model inputs'!Q20-1))</f>
        <v>0</v>
      </c>
      <c r="G110" s="14">
        <f>IF(EXACT("Enterprise","Enterprise"),IF(IF(IF(ISERROR('Model inputs'!G79=1),'Model inputs'!G79=1,IF('Model inputs'!G79="","",'Model inputs'!G79=1))="",FALSE,IF(ISERROR('Model inputs'!G79=1),'Model inputs'!G79=1,IF('Model inputs'!G79="","",'Model inputs'!G79=1))),IF('Model inputs'!G123="","",'Model inputs'!G123),'Model inputs'!F110+'Model inputs'!G123),'Model inputs'!B135+('Model inputs'!B118-'Model inputs'!B135)*('Model inputs'!G79-1)/('Model inputs'!Q20-1))</f>
        <v>0</v>
      </c>
      <c r="H110" s="14">
        <f>IF(EXACT("Enterprise","Enterprise"),IF(IF(IF(ISERROR('Model inputs'!H79=1),'Model inputs'!H79=1,IF('Model inputs'!H79="","",'Model inputs'!H79=1))="",FALSE,IF(ISERROR('Model inputs'!H79=1),'Model inputs'!H79=1,IF('Model inputs'!H79="","",'Model inputs'!H79=1))),IF('Model inputs'!H123="","",'Model inputs'!H123),'Model inputs'!G110+'Model inputs'!H123),'Model inputs'!B135+('Model inputs'!B118-'Model inputs'!B135)*('Model inputs'!H79-1)/('Model inputs'!Q20-1))</f>
        <v>0</v>
      </c>
      <c r="I110" s="14">
        <f>IF(EXACT("Enterprise","Enterprise"),IF(IF(IF(ISERROR('Model inputs'!I79=1),'Model inputs'!I79=1,IF('Model inputs'!I79="","",'Model inputs'!I79=1))="",FALSE,IF(ISERROR('Model inputs'!I79=1),'Model inputs'!I79=1,IF('Model inputs'!I79="","",'Model inputs'!I79=1))),IF('Model inputs'!I123="","",'Model inputs'!I123),'Model inputs'!H110+'Model inputs'!I123),'Model inputs'!B135+('Model inputs'!B118-'Model inputs'!B135)*('Model inputs'!I79-1)/('Model inputs'!Q20-1))</f>
        <v>0</v>
      </c>
      <c r="J110" s="14">
        <f>IF(EXACT("Enterprise","Enterprise"),IF(IF(IF(ISERROR('Model inputs'!J79=1),'Model inputs'!J79=1,IF('Model inputs'!J79="","",'Model inputs'!J79=1))="",FALSE,IF(ISERROR('Model inputs'!J79=1),'Model inputs'!J79=1,IF('Model inputs'!J79="","",'Model inputs'!J79=1))),IF('Model inputs'!J123="","",'Model inputs'!J123),'Model inputs'!I110+'Model inputs'!J123),'Model inputs'!B135+('Model inputs'!B118-'Model inputs'!B135)*('Model inputs'!J79-1)/('Model inputs'!Q20-1))</f>
        <v>1</v>
      </c>
      <c r="K110" s="14">
        <f>IF(EXACT("Enterprise","Enterprise"),IF(IF(IF(ISERROR('Model inputs'!K79=1),'Model inputs'!K79=1,IF('Model inputs'!K79="","",'Model inputs'!K79=1))="",FALSE,IF(ISERROR('Model inputs'!K79=1),'Model inputs'!K79=1,IF('Model inputs'!K79="","",'Model inputs'!K79=1))),IF('Model inputs'!K123="","",'Model inputs'!K123),'Model inputs'!J110+'Model inputs'!K123),'Model inputs'!B135+('Model inputs'!B118-'Model inputs'!B135)*('Model inputs'!K79-1)/('Model inputs'!Q20-1))</f>
        <v>1</v>
      </c>
      <c r="L110" s="14">
        <f>IF(EXACT("Enterprise","Enterprise"),IF(IF(IF(ISERROR('Model inputs'!L79=1),'Model inputs'!L79=1,IF('Model inputs'!L79="","",'Model inputs'!L79=1))="",FALSE,IF(ISERROR('Model inputs'!L79=1),'Model inputs'!L79=1,IF('Model inputs'!L79="","",'Model inputs'!L79=1))),IF('Model inputs'!L123="","",'Model inputs'!L123),'Model inputs'!K110+'Model inputs'!L123),'Model inputs'!B135+('Model inputs'!B118-'Model inputs'!B135)*('Model inputs'!L79-1)/('Model inputs'!Q20-1))</f>
        <v>2</v>
      </c>
      <c r="M110" s="14">
        <f>IF(EXACT("Enterprise","Enterprise"),IF(IF(IF(ISERROR('Model inputs'!M79=1),'Model inputs'!M79=1,IF('Model inputs'!M79="","",'Model inputs'!M79=1))="",FALSE,IF(ISERROR('Model inputs'!M79=1),'Model inputs'!M79=1,IF('Model inputs'!M79="","",'Model inputs'!M79=1))),IF('Model inputs'!M123="","",'Model inputs'!M123),'Model inputs'!L110+'Model inputs'!M123),'Model inputs'!B135+('Model inputs'!B118-'Model inputs'!B135)*('Model inputs'!M79-1)/('Model inputs'!Q20-1))</f>
        <v>2</v>
      </c>
      <c r="N110" s="14">
        <f>IF(EXACT("Enterprise","Enterprise"),IF(IF(IF(ISERROR('Model inputs'!N79=1),'Model inputs'!N79=1,IF('Model inputs'!N79="","",'Model inputs'!N79=1))="",FALSE,IF(ISERROR('Model inputs'!N79=1),'Model inputs'!N79=1,IF('Model inputs'!N79="","",'Model inputs'!N79=1))),IF('Model inputs'!N123="","",'Model inputs'!N123),'Model inputs'!M110+'Model inputs'!N123),'Model inputs'!B135+('Model inputs'!B118-'Model inputs'!B135)*('Model inputs'!N79-1)/('Model inputs'!Q20-1))</f>
        <v>3</v>
      </c>
      <c r="O110" s="14">
        <f>IF(EXACT("Enterprise","Enterprise"),IF(IF(IF(ISERROR('Model inputs'!O79=1),'Model inputs'!O79=1,IF('Model inputs'!O79="","",'Model inputs'!O79=1))="",FALSE,IF(ISERROR('Model inputs'!O79=1),'Model inputs'!O79=1,IF('Model inputs'!O79="","",'Model inputs'!O79=1))),IF('Model inputs'!O123="","",'Model inputs'!O123),'Model inputs'!N110+'Model inputs'!O123),'Model inputs'!B135+('Model inputs'!B118-'Model inputs'!B135)*('Model inputs'!O79-1)/('Model inputs'!Q20-1))</f>
        <v>3</v>
      </c>
      <c r="P110" s="14">
        <f>IF(EXACT("Enterprise","Enterprise"),IF(IF(IF(ISERROR('Model inputs'!P79=1),'Model inputs'!P79=1,IF('Model inputs'!P79="","",'Model inputs'!P79=1))="",FALSE,IF(ISERROR('Model inputs'!P79=1),'Model inputs'!P79=1,IF('Model inputs'!P79="","",'Model inputs'!P79=1))),IF('Model inputs'!P123="","",'Model inputs'!P123),'Model inputs'!O110+'Model inputs'!P123),'Model inputs'!B135+('Model inputs'!B118-'Model inputs'!B135)*('Model inputs'!P79-1)/('Model inputs'!Q20-1))</f>
        <v>4</v>
      </c>
    </row>
    <row r="111" outlineLevel="1">
      <c r="A111" t="inlineStr" s="17">
        <is>
          <t xml:space="preserve">Forecast customers &gt; Free</t>
        </is>
      </c>
      <c r="C111" t="e" s="14">
        <f>IF(EXACT("Free","Enterprise"),IF(IF(IF(ISERROR('Model inputs'!C79=1),'Model inputs'!C79=1,IF('Model inputs'!C79="","",'Model inputs'!C79=1))="",FALSE,IF(ISERROR('Model inputs'!C79=1),'Model inputs'!C79=1,IF('Model inputs'!C79="","",'Model inputs'!C79=1))),IF('Model inputs'!C123="","",'Model inputs'!C123),0+'Model inputs'!C123),'Model inputs'!B136+('Model inputs'!B119-'Model inputs'!B136)*('Model inputs'!C79-1)/('Model inputs'!Q20-1))</f>
        <v>#VALUE!</v>
      </c>
      <c r="D111" t="e" s="14">
        <f>IF(EXACT("Free","Enterprise"),IF(IF(IF(ISERROR('Model inputs'!D79=1),'Model inputs'!D79=1,IF('Model inputs'!D79="","",'Model inputs'!D79=1))="",FALSE,IF(ISERROR('Model inputs'!D79=1),'Model inputs'!D79=1,IF('Model inputs'!D79="","",'Model inputs'!D79=1))),IF('Model inputs'!D123="","",'Model inputs'!D123),'Model inputs'!C111+'Model inputs'!D123),'Model inputs'!B136+('Model inputs'!B119-'Model inputs'!B136)*('Model inputs'!D79-1)/('Model inputs'!Q20-1))</f>
        <v>#VALUE!</v>
      </c>
      <c r="E111" s="14">
        <f>IF(EXACT("Free","Enterprise"),IF(IF(IF(ISERROR('Model inputs'!E79=1),'Model inputs'!E79=1,IF('Model inputs'!E79="","",'Model inputs'!E79=1))="",FALSE,IF(ISERROR('Model inputs'!E79=1),'Model inputs'!E79=1,IF('Model inputs'!E79="","",'Model inputs'!E79=1))),IF('Model inputs'!E123="","",'Model inputs'!E123),'Model inputs'!D111+'Model inputs'!E123),'Model inputs'!B136+('Model inputs'!B119-'Model inputs'!B136)*('Model inputs'!E79-1)/('Model inputs'!Q20-1))</f>
        <v>100</v>
      </c>
      <c r="F111" s="14">
        <f>IF(EXACT("Free","Enterprise"),IF(IF(IF(ISERROR('Model inputs'!F79=1),'Model inputs'!F79=1,IF('Model inputs'!F79="","",'Model inputs'!F79=1))="",FALSE,IF(ISERROR('Model inputs'!F79=1),'Model inputs'!F79=1,IF('Model inputs'!F79="","",'Model inputs'!F79=1))),IF('Model inputs'!F123="","",'Model inputs'!F123),'Model inputs'!E111+'Model inputs'!F123),'Model inputs'!B136+('Model inputs'!B119-'Model inputs'!B136)*('Model inputs'!F79-1)/('Model inputs'!Q20-1))</f>
        <v>227.27272727272725</v>
      </c>
      <c r="G111" s="14">
        <f>IF(EXACT("Free","Enterprise"),IF(IF(IF(ISERROR('Model inputs'!G79=1),'Model inputs'!G79=1,IF('Model inputs'!G79="","",'Model inputs'!G79=1))="",FALSE,IF(ISERROR('Model inputs'!G79=1),'Model inputs'!G79=1,IF('Model inputs'!G79="","",'Model inputs'!G79=1))),IF('Model inputs'!G123="","",'Model inputs'!G123),'Model inputs'!F111+'Model inputs'!G123),'Model inputs'!B136+('Model inputs'!B119-'Model inputs'!B136)*('Model inputs'!G79-1)/('Model inputs'!Q20-1))</f>
        <v>354.5454545454545</v>
      </c>
      <c r="H111" s="14">
        <f>IF(EXACT("Free","Enterprise"),IF(IF(IF(ISERROR('Model inputs'!H79=1),'Model inputs'!H79=1,IF('Model inputs'!H79="","",'Model inputs'!H79=1))="",FALSE,IF(ISERROR('Model inputs'!H79=1),'Model inputs'!H79=1,IF('Model inputs'!H79="","",'Model inputs'!H79=1))),IF('Model inputs'!H123="","",'Model inputs'!H123),'Model inputs'!G111+'Model inputs'!H123),'Model inputs'!B136+('Model inputs'!B119-'Model inputs'!B136)*('Model inputs'!H79-1)/('Model inputs'!Q20-1))</f>
        <v>481.8181818181818</v>
      </c>
      <c r="I111" s="14">
        <f>IF(EXACT("Free","Enterprise"),IF(IF(IF(ISERROR('Model inputs'!I79=1),'Model inputs'!I79=1,IF('Model inputs'!I79="","",'Model inputs'!I79=1))="",FALSE,IF(ISERROR('Model inputs'!I79=1),'Model inputs'!I79=1,IF('Model inputs'!I79="","",'Model inputs'!I79=1))),IF('Model inputs'!I123="","",'Model inputs'!I123),'Model inputs'!H111+'Model inputs'!I123),'Model inputs'!B136+('Model inputs'!B119-'Model inputs'!B136)*('Model inputs'!I79-1)/('Model inputs'!Q20-1))</f>
        <v>609.090909090909</v>
      </c>
      <c r="J111" s="14">
        <f>IF(EXACT("Free","Enterprise"),IF(IF(IF(ISERROR('Model inputs'!J79=1),'Model inputs'!J79=1,IF('Model inputs'!J79="","",'Model inputs'!J79=1))="",FALSE,IF(ISERROR('Model inputs'!J79=1),'Model inputs'!J79=1,IF('Model inputs'!J79="","",'Model inputs'!J79=1))),IF('Model inputs'!J123="","",'Model inputs'!J123),'Model inputs'!I111+'Model inputs'!J123),'Model inputs'!B136+('Model inputs'!B119-'Model inputs'!B136)*('Model inputs'!J79-1)/('Model inputs'!Q20-1))</f>
        <v>736.3636363636364</v>
      </c>
      <c r="K111" s="14">
        <f>IF(EXACT("Free","Enterprise"),IF(IF(IF(ISERROR('Model inputs'!K79=1),'Model inputs'!K79=1,IF('Model inputs'!K79="","",'Model inputs'!K79=1))="",FALSE,IF(ISERROR('Model inputs'!K79=1),'Model inputs'!K79=1,IF('Model inputs'!K79="","",'Model inputs'!K79=1))),IF('Model inputs'!K123="","",'Model inputs'!K123),'Model inputs'!J111+'Model inputs'!K123),'Model inputs'!B136+('Model inputs'!B119-'Model inputs'!B136)*('Model inputs'!K79-1)/('Model inputs'!Q20-1))</f>
        <v>863.6363636363636</v>
      </c>
      <c r="L111" s="14">
        <f>IF(EXACT("Free","Enterprise"),IF(IF(IF(ISERROR('Model inputs'!L79=1),'Model inputs'!L79=1,IF('Model inputs'!L79="","",'Model inputs'!L79=1))="",FALSE,IF(ISERROR('Model inputs'!L79=1),'Model inputs'!L79=1,IF('Model inputs'!L79="","",'Model inputs'!L79=1))),IF('Model inputs'!L123="","",'Model inputs'!L123),'Model inputs'!K111+'Model inputs'!L123),'Model inputs'!B136+('Model inputs'!B119-'Model inputs'!B136)*('Model inputs'!L79-1)/('Model inputs'!Q20-1))</f>
        <v>990.9090909090909</v>
      </c>
      <c r="M111" s="14">
        <f>IF(EXACT("Free","Enterprise"),IF(IF(IF(ISERROR('Model inputs'!M79=1),'Model inputs'!M79=1,IF('Model inputs'!M79="","",'Model inputs'!M79=1))="",FALSE,IF(ISERROR('Model inputs'!M79=1),'Model inputs'!M79=1,IF('Model inputs'!M79="","",'Model inputs'!M79=1))),IF('Model inputs'!M123="","",'Model inputs'!M123),'Model inputs'!L111+'Model inputs'!M123),'Model inputs'!B136+('Model inputs'!B119-'Model inputs'!B136)*('Model inputs'!M79-1)/('Model inputs'!Q20-1))</f>
        <v>1118.181818181818</v>
      </c>
      <c r="N111" s="14">
        <f>IF(EXACT("Free","Enterprise"),IF(IF(IF(ISERROR('Model inputs'!N79=1),'Model inputs'!N79=1,IF('Model inputs'!N79="","",'Model inputs'!N79=1))="",FALSE,IF(ISERROR('Model inputs'!N79=1),'Model inputs'!N79=1,IF('Model inputs'!N79="","",'Model inputs'!N79=1))),IF('Model inputs'!N123="","",'Model inputs'!N123),'Model inputs'!M111+'Model inputs'!N123),'Model inputs'!B136+('Model inputs'!B119-'Model inputs'!B136)*('Model inputs'!N79-1)/('Model inputs'!Q20-1))</f>
        <v>1245.4545454545455</v>
      </c>
      <c r="O111" s="14">
        <f>IF(EXACT("Free","Enterprise"),IF(IF(IF(ISERROR('Model inputs'!O79=1),'Model inputs'!O79=1,IF('Model inputs'!O79="","",'Model inputs'!O79=1))="",FALSE,IF(ISERROR('Model inputs'!O79=1),'Model inputs'!O79=1,IF('Model inputs'!O79="","",'Model inputs'!O79=1))),IF('Model inputs'!O123="","",'Model inputs'!O123),'Model inputs'!N111+'Model inputs'!O123),'Model inputs'!B136+('Model inputs'!B119-'Model inputs'!B136)*('Model inputs'!O79-1)/('Model inputs'!Q20-1))</f>
        <v>1372.7272727272727</v>
      </c>
      <c r="P111" s="14">
        <f>IF(EXACT("Free","Enterprise"),IF(IF(IF(ISERROR('Model inputs'!P79=1),'Model inputs'!P79=1,IF('Model inputs'!P79="","",'Model inputs'!P79=1))="",FALSE,IF(ISERROR('Model inputs'!P79=1),'Model inputs'!P79=1,IF('Model inputs'!P79="","",'Model inputs'!P79=1))),IF('Model inputs'!P123="","",'Model inputs'!P123),'Model inputs'!O111+'Model inputs'!P123),'Model inputs'!B136+('Model inputs'!B119-'Model inputs'!B136)*('Model inputs'!P79-1)/('Model inputs'!Q20-1))</f>
        <v>1500</v>
      </c>
    </row>
    <row r="112" outlineLevel="1">
      <c r="A112" t="inlineStr" s="17">
        <is>
          <t xml:space="preserve">Forecast customers &gt; Team</t>
        </is>
      </c>
      <c r="C112" t="e" s="14">
        <f>IF(EXACT("Team","Enterprise"),IF(IF(IF(ISERROR('Model inputs'!C79=1),'Model inputs'!C79=1,IF('Model inputs'!C79="","",'Model inputs'!C79=1))="",FALSE,IF(ISERROR('Model inputs'!C79=1),'Model inputs'!C79=1,IF('Model inputs'!C79="","",'Model inputs'!C79=1))),IF('Model inputs'!C123="","",'Model inputs'!C123),0+'Model inputs'!C123),'Model inputs'!B137+('Model inputs'!B120-'Model inputs'!B137)*('Model inputs'!C79-1)/('Model inputs'!Q20-1))</f>
        <v>#VALUE!</v>
      </c>
      <c r="D112" t="e" s="14">
        <f>IF(EXACT("Team","Enterprise"),IF(IF(IF(ISERROR('Model inputs'!D79=1),'Model inputs'!D79=1,IF('Model inputs'!D79="","",'Model inputs'!D79=1))="",FALSE,IF(ISERROR('Model inputs'!D79=1),'Model inputs'!D79=1,IF('Model inputs'!D79="","",'Model inputs'!D79=1))),IF('Model inputs'!D123="","",'Model inputs'!D123),'Model inputs'!C112+'Model inputs'!D123),'Model inputs'!B137+('Model inputs'!B120-'Model inputs'!B137)*('Model inputs'!D79-1)/('Model inputs'!Q20-1))</f>
        <v>#VALUE!</v>
      </c>
      <c r="E112" s="14">
        <f>IF(EXACT("Team","Enterprise"),IF(IF(IF(ISERROR('Model inputs'!E79=1),'Model inputs'!E79=1,IF('Model inputs'!E79="","",'Model inputs'!E79=1))="",FALSE,IF(ISERROR('Model inputs'!E79=1),'Model inputs'!E79=1,IF('Model inputs'!E79="","",'Model inputs'!E79=1))),IF('Model inputs'!E123="","",'Model inputs'!E123),'Model inputs'!D112+'Model inputs'!E123),'Model inputs'!B137+('Model inputs'!B120-'Model inputs'!B137)*('Model inputs'!E79-1)/('Model inputs'!Q20-1))</f>
        <v>5</v>
      </c>
      <c r="F112" s="14">
        <f>IF(EXACT("Team","Enterprise"),IF(IF(IF(ISERROR('Model inputs'!F79=1),'Model inputs'!F79=1,IF('Model inputs'!F79="","",'Model inputs'!F79=1))="",FALSE,IF(ISERROR('Model inputs'!F79=1),'Model inputs'!F79=1,IF('Model inputs'!F79="","",'Model inputs'!F79=1))),IF('Model inputs'!F123="","",'Model inputs'!F123),'Model inputs'!E112+'Model inputs'!F123),'Model inputs'!B137+('Model inputs'!B120-'Model inputs'!B137)*('Model inputs'!F79-1)/('Model inputs'!Q20-1))</f>
        <v>18.18181818181818</v>
      </c>
      <c r="G112" s="14">
        <f>IF(EXACT("Team","Enterprise"),IF(IF(IF(ISERROR('Model inputs'!G79=1),'Model inputs'!G79=1,IF('Model inputs'!G79="","",'Model inputs'!G79=1))="",FALSE,IF(ISERROR('Model inputs'!G79=1),'Model inputs'!G79=1,IF('Model inputs'!G79="","",'Model inputs'!G79=1))),IF('Model inputs'!G123="","",'Model inputs'!G123),'Model inputs'!F112+'Model inputs'!G123),'Model inputs'!B137+('Model inputs'!B120-'Model inputs'!B137)*('Model inputs'!G79-1)/('Model inputs'!Q20-1))</f>
        <v>31.363636363636363</v>
      </c>
      <c r="H112" s="14">
        <f>IF(EXACT("Team","Enterprise"),IF(IF(IF(ISERROR('Model inputs'!H79=1),'Model inputs'!H79=1,IF('Model inputs'!H79="","",'Model inputs'!H79=1))="",FALSE,IF(ISERROR('Model inputs'!H79=1),'Model inputs'!H79=1,IF('Model inputs'!H79="","",'Model inputs'!H79=1))),IF('Model inputs'!H123="","",'Model inputs'!H123),'Model inputs'!G112+'Model inputs'!H123),'Model inputs'!B137+('Model inputs'!B120-'Model inputs'!B137)*('Model inputs'!H79-1)/('Model inputs'!Q20-1))</f>
        <v>44.54545454545455</v>
      </c>
      <c r="I112" s="14">
        <f>IF(EXACT("Team","Enterprise"),IF(IF(IF(ISERROR('Model inputs'!I79=1),'Model inputs'!I79=1,IF('Model inputs'!I79="","",'Model inputs'!I79=1))="",FALSE,IF(ISERROR('Model inputs'!I79=1),'Model inputs'!I79=1,IF('Model inputs'!I79="","",'Model inputs'!I79=1))),IF('Model inputs'!I123="","",'Model inputs'!I123),'Model inputs'!H112+'Model inputs'!I123),'Model inputs'!B137+('Model inputs'!B120-'Model inputs'!B137)*('Model inputs'!I79-1)/('Model inputs'!Q20-1))</f>
        <v>57.72727272727273</v>
      </c>
      <c r="J112" s="14">
        <f>IF(EXACT("Team","Enterprise"),IF(IF(IF(ISERROR('Model inputs'!J79=1),'Model inputs'!J79=1,IF('Model inputs'!J79="","",'Model inputs'!J79=1))="",FALSE,IF(ISERROR('Model inputs'!J79=1),'Model inputs'!J79=1,IF('Model inputs'!J79="","",'Model inputs'!J79=1))),IF('Model inputs'!J123="","",'Model inputs'!J123),'Model inputs'!I112+'Model inputs'!J123),'Model inputs'!B137+('Model inputs'!B120-'Model inputs'!B137)*('Model inputs'!J79-1)/('Model inputs'!Q20-1))</f>
        <v>70.9090909090909</v>
      </c>
      <c r="K112" s="14">
        <f>IF(EXACT("Team","Enterprise"),IF(IF(IF(ISERROR('Model inputs'!K79=1),'Model inputs'!K79=1,IF('Model inputs'!K79="","",'Model inputs'!K79=1))="",FALSE,IF(ISERROR('Model inputs'!K79=1),'Model inputs'!K79=1,IF('Model inputs'!K79="","",'Model inputs'!K79=1))),IF('Model inputs'!K123="","",'Model inputs'!K123),'Model inputs'!J112+'Model inputs'!K123),'Model inputs'!B137+('Model inputs'!B120-'Model inputs'!B137)*('Model inputs'!K79-1)/('Model inputs'!Q20-1))</f>
        <v>84.0909090909091</v>
      </c>
      <c r="L112" s="14">
        <f>IF(EXACT("Team","Enterprise"),IF(IF(IF(ISERROR('Model inputs'!L79=1),'Model inputs'!L79=1,IF('Model inputs'!L79="","",'Model inputs'!L79=1))="",FALSE,IF(ISERROR('Model inputs'!L79=1),'Model inputs'!L79=1,IF('Model inputs'!L79="","",'Model inputs'!L79=1))),IF('Model inputs'!L123="","",'Model inputs'!L123),'Model inputs'!K112+'Model inputs'!L123),'Model inputs'!B137+('Model inputs'!B120-'Model inputs'!B137)*('Model inputs'!L79-1)/('Model inputs'!Q20-1))</f>
        <v>97.27272727272727</v>
      </c>
      <c r="M112" s="14">
        <f>IF(EXACT("Team","Enterprise"),IF(IF(IF(ISERROR('Model inputs'!M79=1),'Model inputs'!M79=1,IF('Model inputs'!M79="","",'Model inputs'!M79=1))="",FALSE,IF(ISERROR('Model inputs'!M79=1),'Model inputs'!M79=1,IF('Model inputs'!M79="","",'Model inputs'!M79=1))),IF('Model inputs'!M123="","",'Model inputs'!M123),'Model inputs'!L112+'Model inputs'!M123),'Model inputs'!B137+('Model inputs'!B120-'Model inputs'!B137)*('Model inputs'!M79-1)/('Model inputs'!Q20-1))</f>
        <v>110.45454545454545</v>
      </c>
      <c r="N112" s="14">
        <f>IF(EXACT("Team","Enterprise"),IF(IF(IF(ISERROR('Model inputs'!N79=1),'Model inputs'!N79=1,IF('Model inputs'!N79="","",'Model inputs'!N79=1))="",FALSE,IF(ISERROR('Model inputs'!N79=1),'Model inputs'!N79=1,IF('Model inputs'!N79="","",'Model inputs'!N79=1))),IF('Model inputs'!N123="","",'Model inputs'!N123),'Model inputs'!M112+'Model inputs'!N123),'Model inputs'!B137+('Model inputs'!B120-'Model inputs'!B137)*('Model inputs'!N79-1)/('Model inputs'!Q20-1))</f>
        <v>123.63636363636364</v>
      </c>
      <c r="O112" s="14">
        <f>IF(EXACT("Team","Enterprise"),IF(IF(IF(ISERROR('Model inputs'!O79=1),'Model inputs'!O79=1,IF('Model inputs'!O79="","",'Model inputs'!O79=1))="",FALSE,IF(ISERROR('Model inputs'!O79=1),'Model inputs'!O79=1,IF('Model inputs'!O79="","",'Model inputs'!O79=1))),IF('Model inputs'!O123="","",'Model inputs'!O123),'Model inputs'!N112+'Model inputs'!O123),'Model inputs'!B137+('Model inputs'!B120-'Model inputs'!B137)*('Model inputs'!O79-1)/('Model inputs'!Q20-1))</f>
        <v>136.8181818181818</v>
      </c>
      <c r="P112" s="14">
        <f>IF(EXACT("Team","Enterprise"),IF(IF(IF(ISERROR('Model inputs'!P79=1),'Model inputs'!P79=1,IF('Model inputs'!P79="","",'Model inputs'!P79=1))="",FALSE,IF(ISERROR('Model inputs'!P79=1),'Model inputs'!P79=1,IF('Model inputs'!P79="","",'Model inputs'!P79=1))),IF('Model inputs'!P123="","",'Model inputs'!P123),'Model inputs'!O112+'Model inputs'!P123),'Model inputs'!B137+('Model inputs'!B120-'Model inputs'!B137)*('Model inputs'!P79-1)/('Model inputs'!Q20-1))</f>
        <v>150</v>
      </c>
    </row>
    <row r="113">
      <c r="A113" t="inlineStr" s="16">
        <is>
          <t xml:space="preserve">Monthly subscription price</t>
        </is>
      </c>
      <c r="B113" s="6">
        <v>0</v>
      </c>
    </row>
    <row r="114" outlineLevel="1">
      <c r="A114" t="inlineStr" s="17">
        <is>
          <t xml:space="preserve">Monthly subscription price &gt; Enterprise</t>
        </is>
      </c>
      <c r="B114" s="8">
        <f>1500</f>
        <v>1500</v>
      </c>
    </row>
    <row r="115" outlineLevel="1">
      <c r="A115" t="inlineStr" s="17">
        <is>
          <t xml:space="preserve">Monthly subscription price &gt; Free</t>
        </is>
      </c>
      <c r="B115" s="8">
        <f>0</f>
        <v>0</v>
      </c>
    </row>
    <row r="116" outlineLevel="1">
      <c r="A116" t="inlineStr" s="17">
        <is>
          <t xml:space="preserve">Monthly subscription price &gt; Team</t>
        </is>
      </c>
      <c r="B116" s="8">
        <f>79</f>
        <v>79</v>
      </c>
    </row>
    <row r="117">
      <c r="A117" t="inlineStr" s="16">
        <is>
          <t xml:space="preserve">Closing customer count</t>
        </is>
      </c>
      <c r="B117" s="12">
        <v>0</v>
      </c>
    </row>
    <row r="118" outlineLevel="1">
      <c r="A118" t="inlineStr" s="17">
        <is>
          <t xml:space="preserve">Closing customer count &gt; Enterprise</t>
        </is>
      </c>
      <c r="B118" s="14">
        <v>0</v>
      </c>
    </row>
    <row r="119" outlineLevel="1">
      <c r="A119" t="inlineStr" s="17">
        <is>
          <t xml:space="preserve">Closing customer count &gt; Free</t>
        </is>
      </c>
      <c r="B119" s="14">
        <f>1500</f>
        <v>1500</v>
      </c>
    </row>
    <row r="120" outlineLevel="1">
      <c r="A120" t="inlineStr" s="17">
        <is>
          <t xml:space="preserve">Closing customer count &gt; Team</t>
        </is>
      </c>
      <c r="B120" s="14">
        <f>150</f>
        <v>150</v>
      </c>
    </row>
    <row r="121">
      <c r="A121" t="inlineStr" s="16">
        <is>
          <t xml:space="preserve">Domain and Cloudflare monthly cost · Fixed monthly overhead · Forecast fixed costs · Total forecast costs · Susanoo — Growth · Susanoo — Growth · Susanoo — Growth · Susanoo — Growth</t>
        </is>
      </c>
      <c r="B121" s="14">
        <f>1</f>
        <v>1</v>
      </c>
    </row>
    <row r="122">
      <c r="A122" t="inlineStr" s="16">
        <is>
          <t xml:space="preserve">EC2 monthly cost · Fixed monthly overhead · Forecast fixed costs · Total forecast costs · Susanoo — Growth · Susanoo — Growth · Susanoo — Growth · Susanoo — Growth</t>
        </is>
      </c>
      <c r="B122" s="14">
        <f>68</f>
        <v>68</v>
      </c>
    </row>
    <row r="123">
      <c r="A123" t="inlineStr" s="16">
        <is>
          <t xml:space="preserve">Enterprise signings · Forecast cash balance · 12-month forecast summary · Susanoo — Growth · Susanoo — Growth</t>
        </is>
      </c>
      <c r="C123" s="14">
        <f>0</f>
        <v>0</v>
      </c>
      <c r="D123" s="14">
        <f>0</f>
        <v>0</v>
      </c>
      <c r="E123" s="14">
        <f>0</f>
        <v>0</v>
      </c>
      <c r="F123" s="14">
        <f>0</f>
        <v>0</v>
      </c>
      <c r="G123" s="14">
        <f>0</f>
        <v>0</v>
      </c>
      <c r="H123" s="14">
        <f>0</f>
        <v>0</v>
      </c>
      <c r="I123" s="14">
        <f>0</f>
        <v>0</v>
      </c>
      <c r="J123" s="14">
        <f>1</f>
        <v>1</v>
      </c>
      <c r="K123" s="14">
        <f>0</f>
        <v>0</v>
      </c>
      <c r="L123" s="14">
        <f>1</f>
        <v>1</v>
      </c>
      <c r="M123" s="14">
        <f>0</f>
        <v>0</v>
      </c>
      <c r="N123" s="14">
        <f>1</f>
        <v>1</v>
      </c>
      <c r="O123" s="14">
        <f>0</f>
        <v>0</v>
      </c>
      <c r="P123" s="14">
        <f>1</f>
        <v>1</v>
      </c>
    </row>
    <row r="124">
      <c r="A124" t="inlineStr" s="16">
        <is>
          <t xml:space="preserve">Expected monthly runs</t>
        </is>
      </c>
      <c r="B124" s="12">
        <v>0</v>
      </c>
    </row>
    <row r="125" outlineLevel="1">
      <c r="A125" t="inlineStr" s="17">
        <is>
          <t xml:space="preserve">Expected monthly runs &gt; Enterprise</t>
        </is>
      </c>
      <c r="B125" s="14">
        <f>100</f>
        <v>100</v>
      </c>
    </row>
    <row r="126" outlineLevel="1">
      <c r="A126" t="inlineStr" s="17">
        <is>
          <t xml:space="preserve">Expected monthly runs &gt; Free</t>
        </is>
      </c>
      <c r="B126" s="14">
        <f>2</f>
        <v>2</v>
      </c>
    </row>
    <row r="127" outlineLevel="1">
      <c r="A127" t="inlineStr" s="17">
        <is>
          <t xml:space="preserve">Expected monthly runs &gt; Team</t>
        </is>
      </c>
      <c r="B127" s="14">
        <f>15</f>
        <v>15</v>
      </c>
    </row>
    <row r="128">
      <c r="A128" t="inlineStr" s="16">
        <is>
          <t xml:space="preserve">Forecast headcount</t>
        </is>
      </c>
      <c r="C128" t="e" s="12">
        <f>SUM('Model inputs'!C129,'Model inputs'!C130,'Model inputs'!C131)</f>
        <v>#VALUE!</v>
      </c>
      <c r="D128" t="e" s="12">
        <f>SUM('Model inputs'!D129,'Model inputs'!D130,'Model inputs'!D131)</f>
        <v>#VALUE!</v>
      </c>
      <c r="E128" s="12">
        <f>SUM('Model inputs'!E129,'Model inputs'!E130,'Model inputs'!E131)</f>
        <v>2</v>
      </c>
      <c r="F128" s="12">
        <f>SUM('Model inputs'!F129,'Model inputs'!F130,'Model inputs'!F131)</f>
        <v>2</v>
      </c>
      <c r="G128" s="12">
        <f>SUM('Model inputs'!G129,'Model inputs'!G130,'Model inputs'!G131)</f>
        <v>2</v>
      </c>
      <c r="H128" s="12">
        <f>SUM('Model inputs'!H129,'Model inputs'!H130,'Model inputs'!H131)</f>
        <v>2</v>
      </c>
      <c r="I128" s="12">
        <f>SUM('Model inputs'!I129,'Model inputs'!I130,'Model inputs'!I131)</f>
        <v>2</v>
      </c>
      <c r="J128" s="12">
        <f>SUM('Model inputs'!J129,'Model inputs'!J130,'Model inputs'!J131)</f>
        <v>3</v>
      </c>
      <c r="K128" s="12">
        <f>SUM('Model inputs'!K129,'Model inputs'!K130,'Model inputs'!K131)</f>
        <v>3</v>
      </c>
      <c r="L128" s="12">
        <f>SUM('Model inputs'!L129,'Model inputs'!L130,'Model inputs'!L131)</f>
        <v>3</v>
      </c>
      <c r="M128" s="12">
        <f>SUM('Model inputs'!M129,'Model inputs'!M130,'Model inputs'!M131)</f>
        <v>3</v>
      </c>
      <c r="N128" s="12">
        <f>SUM('Model inputs'!N129,'Model inputs'!N130,'Model inputs'!N131)</f>
        <v>3</v>
      </c>
      <c r="O128" s="12">
        <f>SUM('Model inputs'!O129,'Model inputs'!O130,'Model inputs'!O131)</f>
        <v>3</v>
      </c>
      <c r="P128" s="12">
        <f>SUM('Model inputs'!P129,'Model inputs'!P130,'Model inputs'!P131)</f>
        <v>3</v>
      </c>
    </row>
    <row r="129" outlineLevel="1">
      <c r="A129" t="inlineStr" s="17">
        <is>
          <t xml:space="preserve">Forecast headcount &gt; Founder 1</t>
        </is>
      </c>
      <c r="C129" t="e" s="14">
        <f>'Model inputs'!B148*IF(IF(IF(IF(ISERROR('Model inputs'!C79&gt;='Model inputs'!B152),'Model inputs'!C79&gt;='Model inputs'!B152,IF(OR('Model inputs'!C79="",'Model inputs'!B152=""),"",'Model inputs'!C79&gt;='Model inputs'!B152))="",FALSE,IF(ISERROR('Model inputs'!C79&gt;='Model inputs'!B152),'Model inputs'!C79&gt;='Model inputs'!B152,IF(OR('Model inputs'!C79="",'Model inputs'!B152=""),"",'Model inputs'!C79&gt;='Model inputs'!B152))),1,0)="",0,IF(IF(IF(ISERROR('Model inputs'!C79&gt;='Model inputs'!B152),'Model inputs'!C79&gt;='Model inputs'!B152,IF(OR('Model inputs'!C79="",'Model inputs'!B152=""),"",'Model inputs'!C79&gt;='Model inputs'!B152))="",FALSE,IF(ISERROR('Model inputs'!C79&gt;='Model inputs'!B152),'Model inputs'!C79&gt;='Model inputs'!B152,IF(OR('Model inputs'!C79="",'Model inputs'!B152=""),"",'Model inputs'!C79&gt;='Model inputs'!B152))),1,0))</f>
        <v>#VALUE!</v>
      </c>
      <c r="D129" t="e" s="14">
        <f>'Model inputs'!B148*IF(IF(IF(IF(ISERROR('Model inputs'!D79&gt;='Model inputs'!B152),'Model inputs'!D79&gt;='Model inputs'!B152,IF(OR('Model inputs'!D79="",'Model inputs'!B152=""),"",'Model inputs'!D79&gt;='Model inputs'!B152))="",FALSE,IF(ISERROR('Model inputs'!D79&gt;='Model inputs'!B152),'Model inputs'!D79&gt;='Model inputs'!B152,IF(OR('Model inputs'!D79="",'Model inputs'!B152=""),"",'Model inputs'!D79&gt;='Model inputs'!B152))),1,0)="",0,IF(IF(IF(ISERROR('Model inputs'!D79&gt;='Model inputs'!B152),'Model inputs'!D79&gt;='Model inputs'!B152,IF(OR('Model inputs'!D79="",'Model inputs'!B152=""),"",'Model inputs'!D79&gt;='Model inputs'!B152))="",FALSE,IF(ISERROR('Model inputs'!D79&gt;='Model inputs'!B152),'Model inputs'!D79&gt;='Model inputs'!B152,IF(OR('Model inputs'!D79="",'Model inputs'!B152=""),"",'Model inputs'!D79&gt;='Model inputs'!B152))),1,0))</f>
        <v>#VALUE!</v>
      </c>
      <c r="E129" s="14">
        <f>'Model inputs'!B148*IF(IF(IF(IF(ISERROR('Model inputs'!E79&gt;='Model inputs'!B152),'Model inputs'!E79&gt;='Model inputs'!B152,IF(OR('Model inputs'!E79="",'Model inputs'!B152=""),"",'Model inputs'!E79&gt;='Model inputs'!B152))="",FALSE,IF(ISERROR('Model inputs'!E79&gt;='Model inputs'!B152),'Model inputs'!E79&gt;='Model inputs'!B152,IF(OR('Model inputs'!E79="",'Model inputs'!B152=""),"",'Model inputs'!E79&gt;='Model inputs'!B152))),1,0)="",0,IF(IF(IF(ISERROR('Model inputs'!E79&gt;='Model inputs'!B152),'Model inputs'!E79&gt;='Model inputs'!B152,IF(OR('Model inputs'!E79="",'Model inputs'!B152=""),"",'Model inputs'!E79&gt;='Model inputs'!B152))="",FALSE,IF(ISERROR('Model inputs'!E79&gt;='Model inputs'!B152),'Model inputs'!E79&gt;='Model inputs'!B152,IF(OR('Model inputs'!E79="",'Model inputs'!B152=""),"",'Model inputs'!E79&gt;='Model inputs'!B152))),1,0))</f>
        <v>1</v>
      </c>
      <c r="F129" s="14">
        <f>'Model inputs'!B148*IF(IF(IF(IF(ISERROR('Model inputs'!F79&gt;='Model inputs'!B152),'Model inputs'!F79&gt;='Model inputs'!B152,IF(OR('Model inputs'!F79="",'Model inputs'!B152=""),"",'Model inputs'!F79&gt;='Model inputs'!B152))="",FALSE,IF(ISERROR('Model inputs'!F79&gt;='Model inputs'!B152),'Model inputs'!F79&gt;='Model inputs'!B152,IF(OR('Model inputs'!F79="",'Model inputs'!B152=""),"",'Model inputs'!F79&gt;='Model inputs'!B152))),1,0)="",0,IF(IF(IF(ISERROR('Model inputs'!F79&gt;='Model inputs'!B152),'Model inputs'!F79&gt;='Model inputs'!B152,IF(OR('Model inputs'!F79="",'Model inputs'!B152=""),"",'Model inputs'!F79&gt;='Model inputs'!B152))="",FALSE,IF(ISERROR('Model inputs'!F79&gt;='Model inputs'!B152),'Model inputs'!F79&gt;='Model inputs'!B152,IF(OR('Model inputs'!F79="",'Model inputs'!B152=""),"",'Model inputs'!F79&gt;='Model inputs'!B152))),1,0))</f>
        <v>1</v>
      </c>
      <c r="G129" s="14">
        <f>'Model inputs'!B148*IF(IF(IF(IF(ISERROR('Model inputs'!G79&gt;='Model inputs'!B152),'Model inputs'!G79&gt;='Model inputs'!B152,IF(OR('Model inputs'!G79="",'Model inputs'!B152=""),"",'Model inputs'!G79&gt;='Model inputs'!B152))="",FALSE,IF(ISERROR('Model inputs'!G79&gt;='Model inputs'!B152),'Model inputs'!G79&gt;='Model inputs'!B152,IF(OR('Model inputs'!G79="",'Model inputs'!B152=""),"",'Model inputs'!G79&gt;='Model inputs'!B152))),1,0)="",0,IF(IF(IF(ISERROR('Model inputs'!G79&gt;='Model inputs'!B152),'Model inputs'!G79&gt;='Model inputs'!B152,IF(OR('Model inputs'!G79="",'Model inputs'!B152=""),"",'Model inputs'!G79&gt;='Model inputs'!B152))="",FALSE,IF(ISERROR('Model inputs'!G79&gt;='Model inputs'!B152),'Model inputs'!G79&gt;='Model inputs'!B152,IF(OR('Model inputs'!G79="",'Model inputs'!B152=""),"",'Model inputs'!G79&gt;='Model inputs'!B152))),1,0))</f>
        <v>1</v>
      </c>
      <c r="H129" s="14">
        <f>'Model inputs'!B148*IF(IF(IF(IF(ISERROR('Model inputs'!H79&gt;='Model inputs'!B152),'Model inputs'!H79&gt;='Model inputs'!B152,IF(OR('Model inputs'!H79="",'Model inputs'!B152=""),"",'Model inputs'!H79&gt;='Model inputs'!B152))="",FALSE,IF(ISERROR('Model inputs'!H79&gt;='Model inputs'!B152),'Model inputs'!H79&gt;='Model inputs'!B152,IF(OR('Model inputs'!H79="",'Model inputs'!B152=""),"",'Model inputs'!H79&gt;='Model inputs'!B152))),1,0)="",0,IF(IF(IF(ISERROR('Model inputs'!H79&gt;='Model inputs'!B152),'Model inputs'!H79&gt;='Model inputs'!B152,IF(OR('Model inputs'!H79="",'Model inputs'!B152=""),"",'Model inputs'!H79&gt;='Model inputs'!B152))="",FALSE,IF(ISERROR('Model inputs'!H79&gt;='Model inputs'!B152),'Model inputs'!H79&gt;='Model inputs'!B152,IF(OR('Model inputs'!H79="",'Model inputs'!B152=""),"",'Model inputs'!H79&gt;='Model inputs'!B152))),1,0))</f>
        <v>1</v>
      </c>
      <c r="I129" s="14">
        <f>'Model inputs'!B148*IF(IF(IF(IF(ISERROR('Model inputs'!I79&gt;='Model inputs'!B152),'Model inputs'!I79&gt;='Model inputs'!B152,IF(OR('Model inputs'!I79="",'Model inputs'!B152=""),"",'Model inputs'!I79&gt;='Model inputs'!B152))="",FALSE,IF(ISERROR('Model inputs'!I79&gt;='Model inputs'!B152),'Model inputs'!I79&gt;='Model inputs'!B152,IF(OR('Model inputs'!I79="",'Model inputs'!B152=""),"",'Model inputs'!I79&gt;='Model inputs'!B152))),1,0)="",0,IF(IF(IF(ISERROR('Model inputs'!I79&gt;='Model inputs'!B152),'Model inputs'!I79&gt;='Model inputs'!B152,IF(OR('Model inputs'!I79="",'Model inputs'!B152=""),"",'Model inputs'!I79&gt;='Model inputs'!B152))="",FALSE,IF(ISERROR('Model inputs'!I79&gt;='Model inputs'!B152),'Model inputs'!I79&gt;='Model inputs'!B152,IF(OR('Model inputs'!I79="",'Model inputs'!B152=""),"",'Model inputs'!I79&gt;='Model inputs'!B152))),1,0))</f>
        <v>1</v>
      </c>
      <c r="J129" s="14">
        <f>'Model inputs'!B148*IF(IF(IF(IF(ISERROR('Model inputs'!J79&gt;='Model inputs'!B152),'Model inputs'!J79&gt;='Model inputs'!B152,IF(OR('Model inputs'!J79="",'Model inputs'!B152=""),"",'Model inputs'!J79&gt;='Model inputs'!B152))="",FALSE,IF(ISERROR('Model inputs'!J79&gt;='Model inputs'!B152),'Model inputs'!J79&gt;='Model inputs'!B152,IF(OR('Model inputs'!J79="",'Model inputs'!B152=""),"",'Model inputs'!J79&gt;='Model inputs'!B152))),1,0)="",0,IF(IF(IF(ISERROR('Model inputs'!J79&gt;='Model inputs'!B152),'Model inputs'!J79&gt;='Model inputs'!B152,IF(OR('Model inputs'!J79="",'Model inputs'!B152=""),"",'Model inputs'!J79&gt;='Model inputs'!B152))="",FALSE,IF(ISERROR('Model inputs'!J79&gt;='Model inputs'!B152),'Model inputs'!J79&gt;='Model inputs'!B152,IF(OR('Model inputs'!J79="",'Model inputs'!B152=""),"",'Model inputs'!J79&gt;='Model inputs'!B152))),1,0))</f>
        <v>1</v>
      </c>
      <c r="K129" s="14">
        <f>'Model inputs'!B148*IF(IF(IF(IF(ISERROR('Model inputs'!K79&gt;='Model inputs'!B152),'Model inputs'!K79&gt;='Model inputs'!B152,IF(OR('Model inputs'!K79="",'Model inputs'!B152=""),"",'Model inputs'!K79&gt;='Model inputs'!B152))="",FALSE,IF(ISERROR('Model inputs'!K79&gt;='Model inputs'!B152),'Model inputs'!K79&gt;='Model inputs'!B152,IF(OR('Model inputs'!K79="",'Model inputs'!B152=""),"",'Model inputs'!K79&gt;='Model inputs'!B152))),1,0)="",0,IF(IF(IF(ISERROR('Model inputs'!K79&gt;='Model inputs'!B152),'Model inputs'!K79&gt;='Model inputs'!B152,IF(OR('Model inputs'!K79="",'Model inputs'!B152=""),"",'Model inputs'!K79&gt;='Model inputs'!B152))="",FALSE,IF(ISERROR('Model inputs'!K79&gt;='Model inputs'!B152),'Model inputs'!K79&gt;='Model inputs'!B152,IF(OR('Model inputs'!K79="",'Model inputs'!B152=""),"",'Model inputs'!K79&gt;='Model inputs'!B152))),1,0))</f>
        <v>1</v>
      </c>
      <c r="L129" s="14">
        <f>'Model inputs'!B148*IF(IF(IF(IF(ISERROR('Model inputs'!L79&gt;='Model inputs'!B152),'Model inputs'!L79&gt;='Model inputs'!B152,IF(OR('Model inputs'!L79="",'Model inputs'!B152=""),"",'Model inputs'!L79&gt;='Model inputs'!B152))="",FALSE,IF(ISERROR('Model inputs'!L79&gt;='Model inputs'!B152),'Model inputs'!L79&gt;='Model inputs'!B152,IF(OR('Model inputs'!L79="",'Model inputs'!B152=""),"",'Model inputs'!L79&gt;='Model inputs'!B152))),1,0)="",0,IF(IF(IF(ISERROR('Model inputs'!L79&gt;='Model inputs'!B152),'Model inputs'!L79&gt;='Model inputs'!B152,IF(OR('Model inputs'!L79="",'Model inputs'!B152=""),"",'Model inputs'!L79&gt;='Model inputs'!B152))="",FALSE,IF(ISERROR('Model inputs'!L79&gt;='Model inputs'!B152),'Model inputs'!L79&gt;='Model inputs'!B152,IF(OR('Model inputs'!L79="",'Model inputs'!B152=""),"",'Model inputs'!L79&gt;='Model inputs'!B152))),1,0))</f>
        <v>1</v>
      </c>
      <c r="M129" s="14">
        <f>'Model inputs'!B148*IF(IF(IF(IF(ISERROR('Model inputs'!M79&gt;='Model inputs'!B152),'Model inputs'!M79&gt;='Model inputs'!B152,IF(OR('Model inputs'!M79="",'Model inputs'!B152=""),"",'Model inputs'!M79&gt;='Model inputs'!B152))="",FALSE,IF(ISERROR('Model inputs'!M79&gt;='Model inputs'!B152),'Model inputs'!M79&gt;='Model inputs'!B152,IF(OR('Model inputs'!M79="",'Model inputs'!B152=""),"",'Model inputs'!M79&gt;='Model inputs'!B152))),1,0)="",0,IF(IF(IF(ISERROR('Model inputs'!M79&gt;='Model inputs'!B152),'Model inputs'!M79&gt;='Model inputs'!B152,IF(OR('Model inputs'!M79="",'Model inputs'!B152=""),"",'Model inputs'!M79&gt;='Model inputs'!B152))="",FALSE,IF(ISERROR('Model inputs'!M79&gt;='Model inputs'!B152),'Model inputs'!M79&gt;='Model inputs'!B152,IF(OR('Model inputs'!M79="",'Model inputs'!B152=""),"",'Model inputs'!M79&gt;='Model inputs'!B152))),1,0))</f>
        <v>1</v>
      </c>
      <c r="N129" s="14">
        <f>'Model inputs'!B148*IF(IF(IF(IF(ISERROR('Model inputs'!N79&gt;='Model inputs'!B152),'Model inputs'!N79&gt;='Model inputs'!B152,IF(OR('Model inputs'!N79="",'Model inputs'!B152=""),"",'Model inputs'!N79&gt;='Model inputs'!B152))="",FALSE,IF(ISERROR('Model inputs'!N79&gt;='Model inputs'!B152),'Model inputs'!N79&gt;='Model inputs'!B152,IF(OR('Model inputs'!N79="",'Model inputs'!B152=""),"",'Model inputs'!N79&gt;='Model inputs'!B152))),1,0)="",0,IF(IF(IF(ISERROR('Model inputs'!N79&gt;='Model inputs'!B152),'Model inputs'!N79&gt;='Model inputs'!B152,IF(OR('Model inputs'!N79="",'Model inputs'!B152=""),"",'Model inputs'!N79&gt;='Model inputs'!B152))="",FALSE,IF(ISERROR('Model inputs'!N79&gt;='Model inputs'!B152),'Model inputs'!N79&gt;='Model inputs'!B152,IF(OR('Model inputs'!N79="",'Model inputs'!B152=""),"",'Model inputs'!N79&gt;='Model inputs'!B152))),1,0))</f>
        <v>1</v>
      </c>
      <c r="O129" s="14">
        <f>'Model inputs'!B148*IF(IF(IF(IF(ISERROR('Model inputs'!O79&gt;='Model inputs'!B152),'Model inputs'!O79&gt;='Model inputs'!B152,IF(OR('Model inputs'!O79="",'Model inputs'!B152=""),"",'Model inputs'!O79&gt;='Model inputs'!B152))="",FALSE,IF(ISERROR('Model inputs'!O79&gt;='Model inputs'!B152),'Model inputs'!O79&gt;='Model inputs'!B152,IF(OR('Model inputs'!O79="",'Model inputs'!B152=""),"",'Model inputs'!O79&gt;='Model inputs'!B152))),1,0)="",0,IF(IF(IF(ISERROR('Model inputs'!O79&gt;='Model inputs'!B152),'Model inputs'!O79&gt;='Model inputs'!B152,IF(OR('Model inputs'!O79="",'Model inputs'!B152=""),"",'Model inputs'!O79&gt;='Model inputs'!B152))="",FALSE,IF(ISERROR('Model inputs'!O79&gt;='Model inputs'!B152),'Model inputs'!O79&gt;='Model inputs'!B152,IF(OR('Model inputs'!O79="",'Model inputs'!B152=""),"",'Model inputs'!O79&gt;='Model inputs'!B152))),1,0))</f>
        <v>1</v>
      </c>
      <c r="P129" s="14">
        <f>'Model inputs'!B148*IF(IF(IF(IF(ISERROR('Model inputs'!P79&gt;='Model inputs'!B152),'Model inputs'!P79&gt;='Model inputs'!B152,IF(OR('Model inputs'!P79="",'Model inputs'!B152=""),"",'Model inputs'!P79&gt;='Model inputs'!B152))="",FALSE,IF(ISERROR('Model inputs'!P79&gt;='Model inputs'!B152),'Model inputs'!P79&gt;='Model inputs'!B152,IF(OR('Model inputs'!P79="",'Model inputs'!B152=""),"",'Model inputs'!P79&gt;='Model inputs'!B152))),1,0)="",0,IF(IF(IF(ISERROR('Model inputs'!P79&gt;='Model inputs'!B152),'Model inputs'!P79&gt;='Model inputs'!B152,IF(OR('Model inputs'!P79="",'Model inputs'!B152=""),"",'Model inputs'!P79&gt;='Model inputs'!B152))="",FALSE,IF(ISERROR('Model inputs'!P79&gt;='Model inputs'!B152),'Model inputs'!P79&gt;='Model inputs'!B152,IF(OR('Model inputs'!P79="",'Model inputs'!B152=""),"",'Model inputs'!P79&gt;='Model inputs'!B152))),1,0))</f>
        <v>1</v>
      </c>
    </row>
    <row r="130" outlineLevel="1">
      <c r="A130" t="inlineStr" s="17">
        <is>
          <t xml:space="preserve">Forecast headcount &gt; Founder 2</t>
        </is>
      </c>
      <c r="C130" t="e" s="14">
        <f>'Model inputs'!B149*IF(IF(IF(IF(ISERROR('Model inputs'!C79&gt;='Model inputs'!B153),'Model inputs'!C79&gt;='Model inputs'!B153,IF(OR('Model inputs'!C79="",'Model inputs'!B153=""),"",'Model inputs'!C79&gt;='Model inputs'!B153))="",FALSE,IF(ISERROR('Model inputs'!C79&gt;='Model inputs'!B153),'Model inputs'!C79&gt;='Model inputs'!B153,IF(OR('Model inputs'!C79="",'Model inputs'!B153=""),"",'Model inputs'!C79&gt;='Model inputs'!B153))),1,0)="",0,IF(IF(IF(ISERROR('Model inputs'!C79&gt;='Model inputs'!B153),'Model inputs'!C79&gt;='Model inputs'!B153,IF(OR('Model inputs'!C79="",'Model inputs'!B153=""),"",'Model inputs'!C79&gt;='Model inputs'!B153))="",FALSE,IF(ISERROR('Model inputs'!C79&gt;='Model inputs'!B153),'Model inputs'!C79&gt;='Model inputs'!B153,IF(OR('Model inputs'!C79="",'Model inputs'!B153=""),"",'Model inputs'!C79&gt;='Model inputs'!B153))),1,0))</f>
        <v>#VALUE!</v>
      </c>
      <c r="D130" t="e" s="14">
        <f>'Model inputs'!B149*IF(IF(IF(IF(ISERROR('Model inputs'!D79&gt;='Model inputs'!B153),'Model inputs'!D79&gt;='Model inputs'!B153,IF(OR('Model inputs'!D79="",'Model inputs'!B153=""),"",'Model inputs'!D79&gt;='Model inputs'!B153))="",FALSE,IF(ISERROR('Model inputs'!D79&gt;='Model inputs'!B153),'Model inputs'!D79&gt;='Model inputs'!B153,IF(OR('Model inputs'!D79="",'Model inputs'!B153=""),"",'Model inputs'!D79&gt;='Model inputs'!B153))),1,0)="",0,IF(IF(IF(ISERROR('Model inputs'!D79&gt;='Model inputs'!B153),'Model inputs'!D79&gt;='Model inputs'!B153,IF(OR('Model inputs'!D79="",'Model inputs'!B153=""),"",'Model inputs'!D79&gt;='Model inputs'!B153))="",FALSE,IF(ISERROR('Model inputs'!D79&gt;='Model inputs'!B153),'Model inputs'!D79&gt;='Model inputs'!B153,IF(OR('Model inputs'!D79="",'Model inputs'!B153=""),"",'Model inputs'!D79&gt;='Model inputs'!B153))),1,0))</f>
        <v>#VALUE!</v>
      </c>
      <c r="E130" s="14">
        <f>'Model inputs'!B149*IF(IF(IF(IF(ISERROR('Model inputs'!E79&gt;='Model inputs'!B153),'Model inputs'!E79&gt;='Model inputs'!B153,IF(OR('Model inputs'!E79="",'Model inputs'!B153=""),"",'Model inputs'!E79&gt;='Model inputs'!B153))="",FALSE,IF(ISERROR('Model inputs'!E79&gt;='Model inputs'!B153),'Model inputs'!E79&gt;='Model inputs'!B153,IF(OR('Model inputs'!E79="",'Model inputs'!B153=""),"",'Model inputs'!E79&gt;='Model inputs'!B153))),1,0)="",0,IF(IF(IF(ISERROR('Model inputs'!E79&gt;='Model inputs'!B153),'Model inputs'!E79&gt;='Model inputs'!B153,IF(OR('Model inputs'!E79="",'Model inputs'!B153=""),"",'Model inputs'!E79&gt;='Model inputs'!B153))="",FALSE,IF(ISERROR('Model inputs'!E79&gt;='Model inputs'!B153),'Model inputs'!E79&gt;='Model inputs'!B153,IF(OR('Model inputs'!E79="",'Model inputs'!B153=""),"",'Model inputs'!E79&gt;='Model inputs'!B153))),1,0))</f>
        <v>1</v>
      </c>
      <c r="F130" s="14">
        <f>'Model inputs'!B149*IF(IF(IF(IF(ISERROR('Model inputs'!F79&gt;='Model inputs'!B153),'Model inputs'!F79&gt;='Model inputs'!B153,IF(OR('Model inputs'!F79="",'Model inputs'!B153=""),"",'Model inputs'!F79&gt;='Model inputs'!B153))="",FALSE,IF(ISERROR('Model inputs'!F79&gt;='Model inputs'!B153),'Model inputs'!F79&gt;='Model inputs'!B153,IF(OR('Model inputs'!F79="",'Model inputs'!B153=""),"",'Model inputs'!F79&gt;='Model inputs'!B153))),1,0)="",0,IF(IF(IF(ISERROR('Model inputs'!F79&gt;='Model inputs'!B153),'Model inputs'!F79&gt;='Model inputs'!B153,IF(OR('Model inputs'!F79="",'Model inputs'!B153=""),"",'Model inputs'!F79&gt;='Model inputs'!B153))="",FALSE,IF(ISERROR('Model inputs'!F79&gt;='Model inputs'!B153),'Model inputs'!F79&gt;='Model inputs'!B153,IF(OR('Model inputs'!F79="",'Model inputs'!B153=""),"",'Model inputs'!F79&gt;='Model inputs'!B153))),1,0))</f>
        <v>1</v>
      </c>
      <c r="G130" s="14">
        <f>'Model inputs'!B149*IF(IF(IF(IF(ISERROR('Model inputs'!G79&gt;='Model inputs'!B153),'Model inputs'!G79&gt;='Model inputs'!B153,IF(OR('Model inputs'!G79="",'Model inputs'!B153=""),"",'Model inputs'!G79&gt;='Model inputs'!B153))="",FALSE,IF(ISERROR('Model inputs'!G79&gt;='Model inputs'!B153),'Model inputs'!G79&gt;='Model inputs'!B153,IF(OR('Model inputs'!G79="",'Model inputs'!B153=""),"",'Model inputs'!G79&gt;='Model inputs'!B153))),1,0)="",0,IF(IF(IF(ISERROR('Model inputs'!G79&gt;='Model inputs'!B153),'Model inputs'!G79&gt;='Model inputs'!B153,IF(OR('Model inputs'!G79="",'Model inputs'!B153=""),"",'Model inputs'!G79&gt;='Model inputs'!B153))="",FALSE,IF(ISERROR('Model inputs'!G79&gt;='Model inputs'!B153),'Model inputs'!G79&gt;='Model inputs'!B153,IF(OR('Model inputs'!G79="",'Model inputs'!B153=""),"",'Model inputs'!G79&gt;='Model inputs'!B153))),1,0))</f>
        <v>1</v>
      </c>
      <c r="H130" s="14">
        <f>'Model inputs'!B149*IF(IF(IF(IF(ISERROR('Model inputs'!H79&gt;='Model inputs'!B153),'Model inputs'!H79&gt;='Model inputs'!B153,IF(OR('Model inputs'!H79="",'Model inputs'!B153=""),"",'Model inputs'!H79&gt;='Model inputs'!B153))="",FALSE,IF(ISERROR('Model inputs'!H79&gt;='Model inputs'!B153),'Model inputs'!H79&gt;='Model inputs'!B153,IF(OR('Model inputs'!H79="",'Model inputs'!B153=""),"",'Model inputs'!H79&gt;='Model inputs'!B153))),1,0)="",0,IF(IF(IF(ISERROR('Model inputs'!H79&gt;='Model inputs'!B153),'Model inputs'!H79&gt;='Model inputs'!B153,IF(OR('Model inputs'!H79="",'Model inputs'!B153=""),"",'Model inputs'!H79&gt;='Model inputs'!B153))="",FALSE,IF(ISERROR('Model inputs'!H79&gt;='Model inputs'!B153),'Model inputs'!H79&gt;='Model inputs'!B153,IF(OR('Model inputs'!H79="",'Model inputs'!B153=""),"",'Model inputs'!H79&gt;='Model inputs'!B153))),1,0))</f>
        <v>1</v>
      </c>
      <c r="I130" s="14">
        <f>'Model inputs'!B149*IF(IF(IF(IF(ISERROR('Model inputs'!I79&gt;='Model inputs'!B153),'Model inputs'!I79&gt;='Model inputs'!B153,IF(OR('Model inputs'!I79="",'Model inputs'!B153=""),"",'Model inputs'!I79&gt;='Model inputs'!B153))="",FALSE,IF(ISERROR('Model inputs'!I79&gt;='Model inputs'!B153),'Model inputs'!I79&gt;='Model inputs'!B153,IF(OR('Model inputs'!I79="",'Model inputs'!B153=""),"",'Model inputs'!I79&gt;='Model inputs'!B153))),1,0)="",0,IF(IF(IF(ISERROR('Model inputs'!I79&gt;='Model inputs'!B153),'Model inputs'!I79&gt;='Model inputs'!B153,IF(OR('Model inputs'!I79="",'Model inputs'!B153=""),"",'Model inputs'!I79&gt;='Model inputs'!B153))="",FALSE,IF(ISERROR('Model inputs'!I79&gt;='Model inputs'!B153),'Model inputs'!I79&gt;='Model inputs'!B153,IF(OR('Model inputs'!I79="",'Model inputs'!B153=""),"",'Model inputs'!I79&gt;='Model inputs'!B153))),1,0))</f>
        <v>1</v>
      </c>
      <c r="J130" s="14">
        <f>'Model inputs'!B149*IF(IF(IF(IF(ISERROR('Model inputs'!J79&gt;='Model inputs'!B153),'Model inputs'!J79&gt;='Model inputs'!B153,IF(OR('Model inputs'!J79="",'Model inputs'!B153=""),"",'Model inputs'!J79&gt;='Model inputs'!B153))="",FALSE,IF(ISERROR('Model inputs'!J79&gt;='Model inputs'!B153),'Model inputs'!J79&gt;='Model inputs'!B153,IF(OR('Model inputs'!J79="",'Model inputs'!B153=""),"",'Model inputs'!J79&gt;='Model inputs'!B153))),1,0)="",0,IF(IF(IF(ISERROR('Model inputs'!J79&gt;='Model inputs'!B153),'Model inputs'!J79&gt;='Model inputs'!B153,IF(OR('Model inputs'!J79="",'Model inputs'!B153=""),"",'Model inputs'!J79&gt;='Model inputs'!B153))="",FALSE,IF(ISERROR('Model inputs'!J79&gt;='Model inputs'!B153),'Model inputs'!J79&gt;='Model inputs'!B153,IF(OR('Model inputs'!J79="",'Model inputs'!B153=""),"",'Model inputs'!J79&gt;='Model inputs'!B153))),1,0))</f>
        <v>1</v>
      </c>
      <c r="K130" s="14">
        <f>'Model inputs'!B149*IF(IF(IF(IF(ISERROR('Model inputs'!K79&gt;='Model inputs'!B153),'Model inputs'!K79&gt;='Model inputs'!B153,IF(OR('Model inputs'!K79="",'Model inputs'!B153=""),"",'Model inputs'!K79&gt;='Model inputs'!B153))="",FALSE,IF(ISERROR('Model inputs'!K79&gt;='Model inputs'!B153),'Model inputs'!K79&gt;='Model inputs'!B153,IF(OR('Model inputs'!K79="",'Model inputs'!B153=""),"",'Model inputs'!K79&gt;='Model inputs'!B153))),1,0)="",0,IF(IF(IF(ISERROR('Model inputs'!K79&gt;='Model inputs'!B153),'Model inputs'!K79&gt;='Model inputs'!B153,IF(OR('Model inputs'!K79="",'Model inputs'!B153=""),"",'Model inputs'!K79&gt;='Model inputs'!B153))="",FALSE,IF(ISERROR('Model inputs'!K79&gt;='Model inputs'!B153),'Model inputs'!K79&gt;='Model inputs'!B153,IF(OR('Model inputs'!K79="",'Model inputs'!B153=""),"",'Model inputs'!K79&gt;='Model inputs'!B153))),1,0))</f>
        <v>1</v>
      </c>
      <c r="L130" s="14">
        <f>'Model inputs'!B149*IF(IF(IF(IF(ISERROR('Model inputs'!L79&gt;='Model inputs'!B153),'Model inputs'!L79&gt;='Model inputs'!B153,IF(OR('Model inputs'!L79="",'Model inputs'!B153=""),"",'Model inputs'!L79&gt;='Model inputs'!B153))="",FALSE,IF(ISERROR('Model inputs'!L79&gt;='Model inputs'!B153),'Model inputs'!L79&gt;='Model inputs'!B153,IF(OR('Model inputs'!L79="",'Model inputs'!B153=""),"",'Model inputs'!L79&gt;='Model inputs'!B153))),1,0)="",0,IF(IF(IF(ISERROR('Model inputs'!L79&gt;='Model inputs'!B153),'Model inputs'!L79&gt;='Model inputs'!B153,IF(OR('Model inputs'!L79="",'Model inputs'!B153=""),"",'Model inputs'!L79&gt;='Model inputs'!B153))="",FALSE,IF(ISERROR('Model inputs'!L79&gt;='Model inputs'!B153),'Model inputs'!L79&gt;='Model inputs'!B153,IF(OR('Model inputs'!L79="",'Model inputs'!B153=""),"",'Model inputs'!L79&gt;='Model inputs'!B153))),1,0))</f>
        <v>1</v>
      </c>
      <c r="M130" s="14">
        <f>'Model inputs'!B149*IF(IF(IF(IF(ISERROR('Model inputs'!M79&gt;='Model inputs'!B153),'Model inputs'!M79&gt;='Model inputs'!B153,IF(OR('Model inputs'!M79="",'Model inputs'!B153=""),"",'Model inputs'!M79&gt;='Model inputs'!B153))="",FALSE,IF(ISERROR('Model inputs'!M79&gt;='Model inputs'!B153),'Model inputs'!M79&gt;='Model inputs'!B153,IF(OR('Model inputs'!M79="",'Model inputs'!B153=""),"",'Model inputs'!M79&gt;='Model inputs'!B153))),1,0)="",0,IF(IF(IF(ISERROR('Model inputs'!M79&gt;='Model inputs'!B153),'Model inputs'!M79&gt;='Model inputs'!B153,IF(OR('Model inputs'!M79="",'Model inputs'!B153=""),"",'Model inputs'!M79&gt;='Model inputs'!B153))="",FALSE,IF(ISERROR('Model inputs'!M79&gt;='Model inputs'!B153),'Model inputs'!M79&gt;='Model inputs'!B153,IF(OR('Model inputs'!M79="",'Model inputs'!B153=""),"",'Model inputs'!M79&gt;='Model inputs'!B153))),1,0))</f>
        <v>1</v>
      </c>
      <c r="N130" s="14">
        <f>'Model inputs'!B149*IF(IF(IF(IF(ISERROR('Model inputs'!N79&gt;='Model inputs'!B153),'Model inputs'!N79&gt;='Model inputs'!B153,IF(OR('Model inputs'!N79="",'Model inputs'!B153=""),"",'Model inputs'!N79&gt;='Model inputs'!B153))="",FALSE,IF(ISERROR('Model inputs'!N79&gt;='Model inputs'!B153),'Model inputs'!N79&gt;='Model inputs'!B153,IF(OR('Model inputs'!N79="",'Model inputs'!B153=""),"",'Model inputs'!N79&gt;='Model inputs'!B153))),1,0)="",0,IF(IF(IF(ISERROR('Model inputs'!N79&gt;='Model inputs'!B153),'Model inputs'!N79&gt;='Model inputs'!B153,IF(OR('Model inputs'!N79="",'Model inputs'!B153=""),"",'Model inputs'!N79&gt;='Model inputs'!B153))="",FALSE,IF(ISERROR('Model inputs'!N79&gt;='Model inputs'!B153),'Model inputs'!N79&gt;='Model inputs'!B153,IF(OR('Model inputs'!N79="",'Model inputs'!B153=""),"",'Model inputs'!N79&gt;='Model inputs'!B153))),1,0))</f>
        <v>1</v>
      </c>
      <c r="O130" s="14">
        <f>'Model inputs'!B149*IF(IF(IF(IF(ISERROR('Model inputs'!O79&gt;='Model inputs'!B153),'Model inputs'!O79&gt;='Model inputs'!B153,IF(OR('Model inputs'!O79="",'Model inputs'!B153=""),"",'Model inputs'!O79&gt;='Model inputs'!B153))="",FALSE,IF(ISERROR('Model inputs'!O79&gt;='Model inputs'!B153),'Model inputs'!O79&gt;='Model inputs'!B153,IF(OR('Model inputs'!O79="",'Model inputs'!B153=""),"",'Model inputs'!O79&gt;='Model inputs'!B153))),1,0)="",0,IF(IF(IF(ISERROR('Model inputs'!O79&gt;='Model inputs'!B153),'Model inputs'!O79&gt;='Model inputs'!B153,IF(OR('Model inputs'!O79="",'Model inputs'!B153=""),"",'Model inputs'!O79&gt;='Model inputs'!B153))="",FALSE,IF(ISERROR('Model inputs'!O79&gt;='Model inputs'!B153),'Model inputs'!O79&gt;='Model inputs'!B153,IF(OR('Model inputs'!O79="",'Model inputs'!B153=""),"",'Model inputs'!O79&gt;='Model inputs'!B153))),1,0))</f>
        <v>1</v>
      </c>
      <c r="P130" s="14">
        <f>'Model inputs'!B149*IF(IF(IF(IF(ISERROR('Model inputs'!P79&gt;='Model inputs'!B153),'Model inputs'!P79&gt;='Model inputs'!B153,IF(OR('Model inputs'!P79="",'Model inputs'!B153=""),"",'Model inputs'!P79&gt;='Model inputs'!B153))="",FALSE,IF(ISERROR('Model inputs'!P79&gt;='Model inputs'!B153),'Model inputs'!P79&gt;='Model inputs'!B153,IF(OR('Model inputs'!P79="",'Model inputs'!B153=""),"",'Model inputs'!P79&gt;='Model inputs'!B153))),1,0)="",0,IF(IF(IF(ISERROR('Model inputs'!P79&gt;='Model inputs'!B153),'Model inputs'!P79&gt;='Model inputs'!B153,IF(OR('Model inputs'!P79="",'Model inputs'!B153=""),"",'Model inputs'!P79&gt;='Model inputs'!B153))="",FALSE,IF(ISERROR('Model inputs'!P79&gt;='Model inputs'!B153),'Model inputs'!P79&gt;='Model inputs'!B153,IF(OR('Model inputs'!P79="",'Model inputs'!B153=""),"",'Model inputs'!P79&gt;='Model inputs'!B153))),1,0))</f>
        <v>1</v>
      </c>
    </row>
    <row r="131" outlineLevel="1">
      <c r="A131" t="inlineStr" s="17">
        <is>
          <t xml:space="preserve">Forecast headcount &gt; Planned engineer</t>
        </is>
      </c>
      <c r="C131" t="e" s="14">
        <f>'Model inputs'!B150*IF(IF(IF(IF(ISERROR('Model inputs'!C79&gt;='Model inputs'!B154),'Model inputs'!C79&gt;='Model inputs'!B154,IF(OR('Model inputs'!C79="",'Model inputs'!B154=""),"",'Model inputs'!C79&gt;='Model inputs'!B154))="",FALSE,IF(ISERROR('Model inputs'!C79&gt;='Model inputs'!B154),'Model inputs'!C79&gt;='Model inputs'!B154,IF(OR('Model inputs'!C79="",'Model inputs'!B154=""),"",'Model inputs'!C79&gt;='Model inputs'!B154))),1,0)="",0,IF(IF(IF(ISERROR('Model inputs'!C79&gt;='Model inputs'!B154),'Model inputs'!C79&gt;='Model inputs'!B154,IF(OR('Model inputs'!C79="",'Model inputs'!B154=""),"",'Model inputs'!C79&gt;='Model inputs'!B154))="",FALSE,IF(ISERROR('Model inputs'!C79&gt;='Model inputs'!B154),'Model inputs'!C79&gt;='Model inputs'!B154,IF(OR('Model inputs'!C79="",'Model inputs'!B154=""),"",'Model inputs'!C79&gt;='Model inputs'!B154))),1,0))</f>
        <v>#VALUE!</v>
      </c>
      <c r="D131" t="e" s="14">
        <f>'Model inputs'!B150*IF(IF(IF(IF(ISERROR('Model inputs'!D79&gt;='Model inputs'!B154),'Model inputs'!D79&gt;='Model inputs'!B154,IF(OR('Model inputs'!D79="",'Model inputs'!B154=""),"",'Model inputs'!D79&gt;='Model inputs'!B154))="",FALSE,IF(ISERROR('Model inputs'!D79&gt;='Model inputs'!B154),'Model inputs'!D79&gt;='Model inputs'!B154,IF(OR('Model inputs'!D79="",'Model inputs'!B154=""),"",'Model inputs'!D79&gt;='Model inputs'!B154))),1,0)="",0,IF(IF(IF(ISERROR('Model inputs'!D79&gt;='Model inputs'!B154),'Model inputs'!D79&gt;='Model inputs'!B154,IF(OR('Model inputs'!D79="",'Model inputs'!B154=""),"",'Model inputs'!D79&gt;='Model inputs'!B154))="",FALSE,IF(ISERROR('Model inputs'!D79&gt;='Model inputs'!B154),'Model inputs'!D79&gt;='Model inputs'!B154,IF(OR('Model inputs'!D79="",'Model inputs'!B154=""),"",'Model inputs'!D79&gt;='Model inputs'!B154))),1,0))</f>
        <v>#VALUE!</v>
      </c>
      <c r="E131" s="14">
        <f>'Model inputs'!B150*IF(IF(IF(IF(ISERROR('Model inputs'!E79&gt;='Model inputs'!B154),'Model inputs'!E79&gt;='Model inputs'!B154,IF(OR('Model inputs'!E79="",'Model inputs'!B154=""),"",'Model inputs'!E79&gt;='Model inputs'!B154))="",FALSE,IF(ISERROR('Model inputs'!E79&gt;='Model inputs'!B154),'Model inputs'!E79&gt;='Model inputs'!B154,IF(OR('Model inputs'!E79="",'Model inputs'!B154=""),"",'Model inputs'!E79&gt;='Model inputs'!B154))),1,0)="",0,IF(IF(IF(ISERROR('Model inputs'!E79&gt;='Model inputs'!B154),'Model inputs'!E79&gt;='Model inputs'!B154,IF(OR('Model inputs'!E79="",'Model inputs'!B154=""),"",'Model inputs'!E79&gt;='Model inputs'!B154))="",FALSE,IF(ISERROR('Model inputs'!E79&gt;='Model inputs'!B154),'Model inputs'!E79&gt;='Model inputs'!B154,IF(OR('Model inputs'!E79="",'Model inputs'!B154=""),"",'Model inputs'!E79&gt;='Model inputs'!B154))),1,0))</f>
        <v>0</v>
      </c>
      <c r="F131" s="14">
        <f>'Model inputs'!B150*IF(IF(IF(IF(ISERROR('Model inputs'!F79&gt;='Model inputs'!B154),'Model inputs'!F79&gt;='Model inputs'!B154,IF(OR('Model inputs'!F79="",'Model inputs'!B154=""),"",'Model inputs'!F79&gt;='Model inputs'!B154))="",FALSE,IF(ISERROR('Model inputs'!F79&gt;='Model inputs'!B154),'Model inputs'!F79&gt;='Model inputs'!B154,IF(OR('Model inputs'!F79="",'Model inputs'!B154=""),"",'Model inputs'!F79&gt;='Model inputs'!B154))),1,0)="",0,IF(IF(IF(ISERROR('Model inputs'!F79&gt;='Model inputs'!B154),'Model inputs'!F79&gt;='Model inputs'!B154,IF(OR('Model inputs'!F79="",'Model inputs'!B154=""),"",'Model inputs'!F79&gt;='Model inputs'!B154))="",FALSE,IF(ISERROR('Model inputs'!F79&gt;='Model inputs'!B154),'Model inputs'!F79&gt;='Model inputs'!B154,IF(OR('Model inputs'!F79="",'Model inputs'!B154=""),"",'Model inputs'!F79&gt;='Model inputs'!B154))),1,0))</f>
        <v>0</v>
      </c>
      <c r="G131" s="14">
        <f>'Model inputs'!B150*IF(IF(IF(IF(ISERROR('Model inputs'!G79&gt;='Model inputs'!B154),'Model inputs'!G79&gt;='Model inputs'!B154,IF(OR('Model inputs'!G79="",'Model inputs'!B154=""),"",'Model inputs'!G79&gt;='Model inputs'!B154))="",FALSE,IF(ISERROR('Model inputs'!G79&gt;='Model inputs'!B154),'Model inputs'!G79&gt;='Model inputs'!B154,IF(OR('Model inputs'!G79="",'Model inputs'!B154=""),"",'Model inputs'!G79&gt;='Model inputs'!B154))),1,0)="",0,IF(IF(IF(ISERROR('Model inputs'!G79&gt;='Model inputs'!B154),'Model inputs'!G79&gt;='Model inputs'!B154,IF(OR('Model inputs'!G79="",'Model inputs'!B154=""),"",'Model inputs'!G79&gt;='Model inputs'!B154))="",FALSE,IF(ISERROR('Model inputs'!G79&gt;='Model inputs'!B154),'Model inputs'!G79&gt;='Model inputs'!B154,IF(OR('Model inputs'!G79="",'Model inputs'!B154=""),"",'Model inputs'!G79&gt;='Model inputs'!B154))),1,0))</f>
        <v>0</v>
      </c>
      <c r="H131" s="14">
        <f>'Model inputs'!B150*IF(IF(IF(IF(ISERROR('Model inputs'!H79&gt;='Model inputs'!B154),'Model inputs'!H79&gt;='Model inputs'!B154,IF(OR('Model inputs'!H79="",'Model inputs'!B154=""),"",'Model inputs'!H79&gt;='Model inputs'!B154))="",FALSE,IF(ISERROR('Model inputs'!H79&gt;='Model inputs'!B154),'Model inputs'!H79&gt;='Model inputs'!B154,IF(OR('Model inputs'!H79="",'Model inputs'!B154=""),"",'Model inputs'!H79&gt;='Model inputs'!B154))),1,0)="",0,IF(IF(IF(ISERROR('Model inputs'!H79&gt;='Model inputs'!B154),'Model inputs'!H79&gt;='Model inputs'!B154,IF(OR('Model inputs'!H79="",'Model inputs'!B154=""),"",'Model inputs'!H79&gt;='Model inputs'!B154))="",FALSE,IF(ISERROR('Model inputs'!H79&gt;='Model inputs'!B154),'Model inputs'!H79&gt;='Model inputs'!B154,IF(OR('Model inputs'!H79="",'Model inputs'!B154=""),"",'Model inputs'!H79&gt;='Model inputs'!B154))),1,0))</f>
        <v>0</v>
      </c>
      <c r="I131" s="14">
        <f>'Model inputs'!B150*IF(IF(IF(IF(ISERROR('Model inputs'!I79&gt;='Model inputs'!B154),'Model inputs'!I79&gt;='Model inputs'!B154,IF(OR('Model inputs'!I79="",'Model inputs'!B154=""),"",'Model inputs'!I79&gt;='Model inputs'!B154))="",FALSE,IF(ISERROR('Model inputs'!I79&gt;='Model inputs'!B154),'Model inputs'!I79&gt;='Model inputs'!B154,IF(OR('Model inputs'!I79="",'Model inputs'!B154=""),"",'Model inputs'!I79&gt;='Model inputs'!B154))),1,0)="",0,IF(IF(IF(ISERROR('Model inputs'!I79&gt;='Model inputs'!B154),'Model inputs'!I79&gt;='Model inputs'!B154,IF(OR('Model inputs'!I79="",'Model inputs'!B154=""),"",'Model inputs'!I79&gt;='Model inputs'!B154))="",FALSE,IF(ISERROR('Model inputs'!I79&gt;='Model inputs'!B154),'Model inputs'!I79&gt;='Model inputs'!B154,IF(OR('Model inputs'!I79="",'Model inputs'!B154=""),"",'Model inputs'!I79&gt;='Model inputs'!B154))),1,0))</f>
        <v>0</v>
      </c>
      <c r="J131" s="14">
        <f>'Model inputs'!B150*IF(IF(IF(IF(ISERROR('Model inputs'!J79&gt;='Model inputs'!B154),'Model inputs'!J79&gt;='Model inputs'!B154,IF(OR('Model inputs'!J79="",'Model inputs'!B154=""),"",'Model inputs'!J79&gt;='Model inputs'!B154))="",FALSE,IF(ISERROR('Model inputs'!J79&gt;='Model inputs'!B154),'Model inputs'!J79&gt;='Model inputs'!B154,IF(OR('Model inputs'!J79="",'Model inputs'!B154=""),"",'Model inputs'!J79&gt;='Model inputs'!B154))),1,0)="",0,IF(IF(IF(ISERROR('Model inputs'!J79&gt;='Model inputs'!B154),'Model inputs'!J79&gt;='Model inputs'!B154,IF(OR('Model inputs'!J79="",'Model inputs'!B154=""),"",'Model inputs'!J79&gt;='Model inputs'!B154))="",FALSE,IF(ISERROR('Model inputs'!J79&gt;='Model inputs'!B154),'Model inputs'!J79&gt;='Model inputs'!B154,IF(OR('Model inputs'!J79="",'Model inputs'!B154=""),"",'Model inputs'!J79&gt;='Model inputs'!B154))),1,0))</f>
        <v>1</v>
      </c>
      <c r="K131" s="14">
        <f>'Model inputs'!B150*IF(IF(IF(IF(ISERROR('Model inputs'!K79&gt;='Model inputs'!B154),'Model inputs'!K79&gt;='Model inputs'!B154,IF(OR('Model inputs'!K79="",'Model inputs'!B154=""),"",'Model inputs'!K79&gt;='Model inputs'!B154))="",FALSE,IF(ISERROR('Model inputs'!K79&gt;='Model inputs'!B154),'Model inputs'!K79&gt;='Model inputs'!B154,IF(OR('Model inputs'!K79="",'Model inputs'!B154=""),"",'Model inputs'!K79&gt;='Model inputs'!B154))),1,0)="",0,IF(IF(IF(ISERROR('Model inputs'!K79&gt;='Model inputs'!B154),'Model inputs'!K79&gt;='Model inputs'!B154,IF(OR('Model inputs'!K79="",'Model inputs'!B154=""),"",'Model inputs'!K79&gt;='Model inputs'!B154))="",FALSE,IF(ISERROR('Model inputs'!K79&gt;='Model inputs'!B154),'Model inputs'!K79&gt;='Model inputs'!B154,IF(OR('Model inputs'!K79="",'Model inputs'!B154=""),"",'Model inputs'!K79&gt;='Model inputs'!B154))),1,0))</f>
        <v>1</v>
      </c>
      <c r="L131" s="14">
        <f>'Model inputs'!B150*IF(IF(IF(IF(ISERROR('Model inputs'!L79&gt;='Model inputs'!B154),'Model inputs'!L79&gt;='Model inputs'!B154,IF(OR('Model inputs'!L79="",'Model inputs'!B154=""),"",'Model inputs'!L79&gt;='Model inputs'!B154))="",FALSE,IF(ISERROR('Model inputs'!L79&gt;='Model inputs'!B154),'Model inputs'!L79&gt;='Model inputs'!B154,IF(OR('Model inputs'!L79="",'Model inputs'!B154=""),"",'Model inputs'!L79&gt;='Model inputs'!B154))),1,0)="",0,IF(IF(IF(ISERROR('Model inputs'!L79&gt;='Model inputs'!B154),'Model inputs'!L79&gt;='Model inputs'!B154,IF(OR('Model inputs'!L79="",'Model inputs'!B154=""),"",'Model inputs'!L79&gt;='Model inputs'!B154))="",FALSE,IF(ISERROR('Model inputs'!L79&gt;='Model inputs'!B154),'Model inputs'!L79&gt;='Model inputs'!B154,IF(OR('Model inputs'!L79="",'Model inputs'!B154=""),"",'Model inputs'!L79&gt;='Model inputs'!B154))),1,0))</f>
        <v>1</v>
      </c>
      <c r="M131" s="14">
        <f>'Model inputs'!B150*IF(IF(IF(IF(ISERROR('Model inputs'!M79&gt;='Model inputs'!B154),'Model inputs'!M79&gt;='Model inputs'!B154,IF(OR('Model inputs'!M79="",'Model inputs'!B154=""),"",'Model inputs'!M79&gt;='Model inputs'!B154))="",FALSE,IF(ISERROR('Model inputs'!M79&gt;='Model inputs'!B154),'Model inputs'!M79&gt;='Model inputs'!B154,IF(OR('Model inputs'!M79="",'Model inputs'!B154=""),"",'Model inputs'!M79&gt;='Model inputs'!B154))),1,0)="",0,IF(IF(IF(ISERROR('Model inputs'!M79&gt;='Model inputs'!B154),'Model inputs'!M79&gt;='Model inputs'!B154,IF(OR('Model inputs'!M79="",'Model inputs'!B154=""),"",'Model inputs'!M79&gt;='Model inputs'!B154))="",FALSE,IF(ISERROR('Model inputs'!M79&gt;='Model inputs'!B154),'Model inputs'!M79&gt;='Model inputs'!B154,IF(OR('Model inputs'!M79="",'Model inputs'!B154=""),"",'Model inputs'!M79&gt;='Model inputs'!B154))),1,0))</f>
        <v>1</v>
      </c>
      <c r="N131" s="14">
        <f>'Model inputs'!B150*IF(IF(IF(IF(ISERROR('Model inputs'!N79&gt;='Model inputs'!B154),'Model inputs'!N79&gt;='Model inputs'!B154,IF(OR('Model inputs'!N79="",'Model inputs'!B154=""),"",'Model inputs'!N79&gt;='Model inputs'!B154))="",FALSE,IF(ISERROR('Model inputs'!N79&gt;='Model inputs'!B154),'Model inputs'!N79&gt;='Model inputs'!B154,IF(OR('Model inputs'!N79="",'Model inputs'!B154=""),"",'Model inputs'!N79&gt;='Model inputs'!B154))),1,0)="",0,IF(IF(IF(ISERROR('Model inputs'!N79&gt;='Model inputs'!B154),'Model inputs'!N79&gt;='Model inputs'!B154,IF(OR('Model inputs'!N79="",'Model inputs'!B154=""),"",'Model inputs'!N79&gt;='Model inputs'!B154))="",FALSE,IF(ISERROR('Model inputs'!N79&gt;='Model inputs'!B154),'Model inputs'!N79&gt;='Model inputs'!B154,IF(OR('Model inputs'!N79="",'Model inputs'!B154=""),"",'Model inputs'!N79&gt;='Model inputs'!B154))),1,0))</f>
        <v>1</v>
      </c>
      <c r="O131" s="14">
        <f>'Model inputs'!B150*IF(IF(IF(IF(ISERROR('Model inputs'!O79&gt;='Model inputs'!B154),'Model inputs'!O79&gt;='Model inputs'!B154,IF(OR('Model inputs'!O79="",'Model inputs'!B154=""),"",'Model inputs'!O79&gt;='Model inputs'!B154))="",FALSE,IF(ISERROR('Model inputs'!O79&gt;='Model inputs'!B154),'Model inputs'!O79&gt;='Model inputs'!B154,IF(OR('Model inputs'!O79="",'Model inputs'!B154=""),"",'Model inputs'!O79&gt;='Model inputs'!B154))),1,0)="",0,IF(IF(IF(ISERROR('Model inputs'!O79&gt;='Model inputs'!B154),'Model inputs'!O79&gt;='Model inputs'!B154,IF(OR('Model inputs'!O79="",'Model inputs'!B154=""),"",'Model inputs'!O79&gt;='Model inputs'!B154))="",FALSE,IF(ISERROR('Model inputs'!O79&gt;='Model inputs'!B154),'Model inputs'!O79&gt;='Model inputs'!B154,IF(OR('Model inputs'!O79="",'Model inputs'!B154=""),"",'Model inputs'!O79&gt;='Model inputs'!B154))),1,0))</f>
        <v>1</v>
      </c>
      <c r="P131" s="14">
        <f>'Model inputs'!B150*IF(IF(IF(IF(ISERROR('Model inputs'!P79&gt;='Model inputs'!B154),'Model inputs'!P79&gt;='Model inputs'!B154,IF(OR('Model inputs'!P79="",'Model inputs'!B154=""),"",'Model inputs'!P79&gt;='Model inputs'!B154))="",FALSE,IF(ISERROR('Model inputs'!P79&gt;='Model inputs'!B154),'Model inputs'!P79&gt;='Model inputs'!B154,IF(OR('Model inputs'!P79="",'Model inputs'!B154=""),"",'Model inputs'!P79&gt;='Model inputs'!B154))),1,0)="",0,IF(IF(IF(ISERROR('Model inputs'!P79&gt;='Model inputs'!B154),'Model inputs'!P79&gt;='Model inputs'!B154,IF(OR('Model inputs'!P79="",'Model inputs'!B154=""),"",'Model inputs'!P79&gt;='Model inputs'!B154))="",FALSE,IF(ISERROR('Model inputs'!P79&gt;='Model inputs'!B154),'Model inputs'!P79&gt;='Model inputs'!B154,IF(OR('Model inputs'!P79="",'Model inputs'!B154=""),"",'Model inputs'!P79&gt;='Model inputs'!B154))),1,0))</f>
        <v>1</v>
      </c>
    </row>
    <row r="132">
      <c r="A132" t="inlineStr" s="16">
        <is>
          <t xml:space="preserve">Forecast length · Forecast customers · Forecast subscription revenue · by Susanoo product · Susanoo — Growth · Susanoo — Growth · Susanoo — Growth</t>
        </is>
      </c>
      <c r="B132" s="14">
        <f>12</f>
        <v>12</v>
      </c>
    </row>
    <row r="133">
      <c r="A133" t="inlineStr" s="16">
        <is>
          <t xml:space="preserve">neatlogs and Entire monthly cost · Fixed monthly overhead · Forecast fixed costs · Total forecast costs · Susanoo — Growth · Susanoo — Growth · Susanoo — Growth · Susanoo — Growth</t>
        </is>
      </c>
      <c r="B133" s="14">
        <f>0</f>
        <v>0</v>
      </c>
    </row>
    <row r="134">
      <c r="A134" t="inlineStr" s="16">
        <is>
          <t xml:space="preserve">Opening customer count</t>
        </is>
      </c>
      <c r="B134" s="12">
        <v>0</v>
      </c>
    </row>
    <row r="135" outlineLevel="1">
      <c r="A135" t="inlineStr" s="17">
        <is>
          <t xml:space="preserve">Opening customer count &gt; Enterprise</t>
        </is>
      </c>
      <c r="B135" s="14">
        <v>0</v>
      </c>
    </row>
    <row r="136" outlineLevel="1">
      <c r="A136" t="inlineStr" s="17">
        <is>
          <t xml:space="preserve">Opening customer count &gt; Free</t>
        </is>
      </c>
      <c r="B136" s="14">
        <f>100</f>
        <v>100</v>
      </c>
    </row>
    <row r="137" outlineLevel="1">
      <c r="A137" t="inlineStr" s="17">
        <is>
          <t xml:space="preserve">Opening customer count &gt; Team</t>
        </is>
      </c>
      <c r="B137" s="14">
        <f>5</f>
        <v>5</v>
      </c>
    </row>
    <row r="138">
      <c r="A138" t="inlineStr" s="16">
        <is>
          <t xml:space="preserve">Supabase monthly cost · Fixed monthly overhead · Forecast fixed costs · Total forecast costs · Susanoo — Growth · Susanoo — Growth · Susanoo — Growth · Susanoo — Growth</t>
        </is>
      </c>
      <c r="B138" s="14">
        <f>20</f>
        <v>20</v>
      </c>
    </row>
    <row r="139">
      <c r="A139" t="inlineStr" s="16">
        <is>
          <t xml:space="preserve">Total cost per run · Forecast run costs · Total forecast costs · Susanoo — Growth · Susanoo — Growth · Susanoo — Growth</t>
        </is>
      </c>
      <c r="B139" s="14">
        <f>'Model inputs'!B145+'Model inputs'!B146</f>
        <v>1.55</v>
      </c>
    </row>
    <row r="140">
      <c r="A140" t="inlineStr" s="16">
        <is>
          <t xml:space="preserve">Vercel monthly cost · Fixed monthly overhead · Forecast fixed costs · Total forecast costs · Susanoo — Growth · Susanoo — Growth · Susanoo — Growth · Susanoo — Growth</t>
        </is>
      </c>
      <c r="B140" s="14">
        <f>0</f>
        <v>0</v>
      </c>
    </row>
    <row r="141">
      <c r="A141" t="inlineStr" s="16">
        <is>
          <t xml:space="preserve">Worker monthly salary</t>
        </is>
      </c>
      <c r="B141" s="6">
        <v>0</v>
      </c>
    </row>
    <row r="142" outlineLevel="1">
      <c r="A142" t="inlineStr" s="17">
        <is>
          <t xml:space="preserve">Worker monthly salary &gt; Founder 1</t>
        </is>
      </c>
      <c r="B142" s="8">
        <f>0</f>
        <v>0</v>
      </c>
    </row>
    <row r="143" outlineLevel="1">
      <c r="A143" t="inlineStr" s="17">
        <is>
          <t xml:space="preserve">Worker monthly salary &gt; Founder 2</t>
        </is>
      </c>
      <c r="B143" s="8">
        <f>0</f>
        <v>0</v>
      </c>
    </row>
    <row r="144" outlineLevel="1">
      <c r="A144" t="inlineStr" s="17">
        <is>
          <t xml:space="preserve">Worker monthly salary &gt; Planned engineer</t>
        </is>
      </c>
      <c r="B144" s="8">
        <f>6000</f>
        <v>6000</v>
      </c>
    </row>
    <row r="145">
      <c r="A145" t="inlineStr" s="16">
        <is>
          <t xml:space="preserve">Model cost per run · Total cost per run · Forecast run costs · Total forecast costs · Susanoo — Growth · Susanoo — Growth · Susanoo — Growth · Susanoo — Growth</t>
        </is>
      </c>
      <c r="B145" s="14">
        <f>1.5</f>
        <v>1.5</v>
      </c>
    </row>
    <row r="146">
      <c r="A146" t="inlineStr" s="16">
        <is>
          <t xml:space="preserve">Sandbox cost per run · Total cost per run · Forecast run costs · Total forecast costs · Susanoo — Growth · Susanoo — Growth · Susanoo — Growth · Susanoo — Growth</t>
        </is>
      </c>
      <c r="B146" s="14">
        <f>0.05</f>
        <v>0.05</v>
      </c>
    </row>
    <row r="147">
      <c r="A147" t="inlineStr" s="16">
        <is>
          <t xml:space="preserve">Worker included in plan</t>
        </is>
      </c>
      <c r="B147" s="12">
        <v>0</v>
      </c>
    </row>
    <row r="148" outlineLevel="1">
      <c r="A148" t="inlineStr" s="17">
        <is>
          <t xml:space="preserve">Worker included in plan &gt; Founder 1</t>
        </is>
      </c>
      <c r="B148" s="14">
        <f>1</f>
        <v>1</v>
      </c>
    </row>
    <row r="149" outlineLevel="1">
      <c r="A149" t="inlineStr" s="17">
        <is>
          <t xml:space="preserve">Worker included in plan &gt; Founder 2</t>
        </is>
      </c>
      <c r="B149" s="14">
        <f>1</f>
        <v>1</v>
      </c>
    </row>
    <row r="150" outlineLevel="1">
      <c r="A150" t="inlineStr" s="17">
        <is>
          <t xml:space="preserve">Worker included in plan &gt; Planned engineer</t>
        </is>
      </c>
      <c r="B150" s="14">
        <f>1</f>
        <v>1</v>
      </c>
    </row>
    <row r="151">
      <c r="A151" t="inlineStr" s="16">
        <is>
          <t xml:space="preserve">Worker start month</t>
        </is>
      </c>
      <c r="B151" s="12">
        <v>0</v>
      </c>
    </row>
    <row r="152" outlineLevel="1">
      <c r="A152" t="inlineStr" s="17">
        <is>
          <t xml:space="preserve">Worker start month &gt; Founder 1</t>
        </is>
      </c>
      <c r="B152" s="14">
        <f>1</f>
        <v>1</v>
      </c>
    </row>
    <row r="153" outlineLevel="1">
      <c r="A153" t="inlineStr" s="17">
        <is>
          <t xml:space="preserve">Worker start month &gt; Founder 2</t>
        </is>
      </c>
      <c r="B153" s="14">
        <f>1</f>
        <v>1</v>
      </c>
    </row>
    <row r="154" outlineLevel="1">
      <c r="A154" t="inlineStr" s="17">
        <is>
          <t xml:space="preserve">Worker start month &gt; Planned engineer</t>
        </is>
      </c>
      <c r="B154" s="14">
        <f>6</f>
        <v>6</v>
      </c>
    </row>
    <row r="156">
      <c r="A156" t="inlineStr" s="15">
        <is>
          <t xml:space="preserve">Dimensions</t>
        </is>
      </c>
    </row>
    <row r="157">
      <c r="A157" t="inlineStr" s="16">
        <is>
          <t xml:space="preserve">Susanoo product</t>
        </is>
      </c>
      <c r="B157" t="inlineStr" s="19">
        <is>
          <t xml:space="preserve">Enterprise</t>
        </is>
      </c>
      <c r="C157" t="inlineStr" s="19">
        <is>
          <t xml:space="preserve">Free</t>
        </is>
      </c>
      <c r="D157" t="inlineStr" s="19">
        <is>
          <t xml:space="preserve">Team</t>
        </is>
      </c>
    </row>
    <row r="158">
      <c r="A158" t="inlineStr" s="16">
        <is>
          <t xml:space="preserve">Susanoo worker</t>
        </is>
      </c>
      <c r="B158" t="inlineStr" s="19">
        <is>
          <t xml:space="preserve">Founder 1</t>
        </is>
      </c>
      <c r="C158" t="inlineStr" s="19">
        <is>
          <t xml:space="preserve">Founder 2</t>
        </is>
      </c>
      <c r="D158" t="inlineStr" s="19">
        <is>
          <t xml:space="preserve">Planned engineer</t>
        </is>
      </c>
    </row>
    <row r="160">
      <c r="A160" t="inlineStr" s="15">
        <is>
          <t xml:space="preserve">Supporting calculations</t>
        </is>
      </c>
    </row>
    <row r="161">
      <c r="A161" t="inlineStr" s="16">
        <is>
          <t xml:space="preserve">Calculation</t>
        </is>
      </c>
      <c r="B161">
        <f>IF(IF(DATE(2026,11,1)=EDATE('Model inputs'!Q21,'Model inputs'!Q18-1*1)="",FALSE,DATE(2026,11,1)=EDATE('Model inputs'!Q21,'Model inputs'!Q18-1*1)),IF('Monthly revenue cost and runway'!B19="","",'Monthly revenue cost and runway'!B19),"")</f>
      </c>
    </row>
    <row r="162">
      <c r="A162" t="inlineStr" s="16">
        <is>
          <t xml:space="preserve">Calculation</t>
        </is>
      </c>
      <c r="B162">
        <f>IF(IF(DATE(2026,12,1)=EDATE('Model inputs'!Q21,'Model inputs'!Q18-1*1)="",FALSE,DATE(2026,12,1)=EDATE('Model inputs'!Q21,'Model inputs'!Q18-1*1)),IF('Monthly revenue cost and runway'!C19="","",'Monthly revenue cost and runway'!C19),"")</f>
      </c>
    </row>
    <row r="163">
      <c r="A163" t="inlineStr" s="16">
        <is>
          <t xml:space="preserve">Calculation</t>
        </is>
      </c>
      <c r="B163">
        <f>IF(IF(DATE(2027,1,1)=EDATE('Model inputs'!Q21,'Model inputs'!Q18-1*1)="",FALSE,DATE(2027,1,1)=EDATE('Model inputs'!Q21,'Model inputs'!Q18-1*1)),IF('Monthly revenue cost and runway'!D19="","",'Monthly revenue cost and runway'!D19),"")</f>
      </c>
    </row>
    <row r="164">
      <c r="A164" t="inlineStr" s="16">
        <is>
          <t xml:space="preserve">Calculation</t>
        </is>
      </c>
      <c r="B164">
        <f>IF(IF(DATE(2027,2,1)=EDATE('Model inputs'!Q21,'Model inputs'!Q18-1*1)="",FALSE,DATE(2027,2,1)=EDATE('Model inputs'!Q21,'Model inputs'!Q18-1*1)),IF('Monthly revenue cost and runway'!E19="","",'Monthly revenue cost and runway'!E19),"")</f>
      </c>
    </row>
    <row r="165">
      <c r="A165" t="inlineStr" s="16">
        <is>
          <t xml:space="preserve">Calculation</t>
        </is>
      </c>
      <c r="B165">
        <f>IF(IF(DATE(2027,3,1)=EDATE('Model inputs'!Q21,'Model inputs'!Q18-1*1)="",FALSE,DATE(2027,3,1)=EDATE('Model inputs'!Q21,'Model inputs'!Q18-1*1)),IF('Monthly revenue cost and runway'!F19="","",'Monthly revenue cost and runway'!F19),"")</f>
      </c>
    </row>
    <row r="166">
      <c r="A166" t="inlineStr" s="16">
        <is>
          <t xml:space="preserve">Calculation</t>
        </is>
      </c>
      <c r="B166">
        <f>IF(IF(DATE(2027,4,1)=EDATE('Model inputs'!Q21,'Model inputs'!Q18-1*1)="",FALSE,DATE(2027,4,1)=EDATE('Model inputs'!Q21,'Model inputs'!Q18-1*1)),IF('Monthly revenue cost and runway'!G19="","",'Monthly revenue cost and runway'!G19),"")</f>
      </c>
    </row>
    <row r="167">
      <c r="A167" t="inlineStr" s="16">
        <is>
          <t xml:space="preserve">Calculation</t>
        </is>
      </c>
      <c r="B167">
        <f>IF(IF(DATE(2027,5,1)=EDATE('Model inputs'!Q21,'Model inputs'!Q18-1*1)="",FALSE,DATE(2027,5,1)=EDATE('Model inputs'!Q21,'Model inputs'!Q18-1*1)),IF('Monthly revenue cost and runway'!H19="","",'Monthly revenue cost and runway'!H19),"")</f>
      </c>
    </row>
    <row r="168">
      <c r="A168" t="inlineStr" s="16">
        <is>
          <t xml:space="preserve">Calculation</t>
        </is>
      </c>
      <c r="B168">
        <f>IF(IF(DATE(2027,6,1)=EDATE('Model inputs'!Q21,'Model inputs'!Q18-1*1)="",FALSE,DATE(2027,6,1)=EDATE('Model inputs'!Q21,'Model inputs'!Q18-1*1)),IF('Monthly revenue cost and runway'!I19="","",'Monthly revenue cost and runway'!I19),"")</f>
      </c>
    </row>
    <row r="169">
      <c r="A169" t="inlineStr" s="16">
        <is>
          <t xml:space="preserve">Calculation</t>
        </is>
      </c>
      <c r="B169">
        <f>IF(IF(DATE(2027,7,1)=EDATE('Model inputs'!Q21,'Model inputs'!Q18-1*1)="",FALSE,DATE(2027,7,1)=EDATE('Model inputs'!Q21,'Model inputs'!Q18-1*1)),IF('Monthly revenue cost and runway'!J19="","",'Monthly revenue cost and runway'!J19),"")</f>
      </c>
    </row>
    <row r="170">
      <c r="A170" t="inlineStr" s="16">
        <is>
          <t xml:space="preserve">Calculation</t>
        </is>
      </c>
      <c r="B170">
        <f>IF(IF(DATE(2027,8,1)=EDATE('Model inputs'!Q21,'Model inputs'!Q18-1*1)="",FALSE,DATE(2027,8,1)=EDATE('Model inputs'!Q21,'Model inputs'!Q18-1*1)),IF('Monthly revenue cost and runway'!K19="","",'Monthly revenue cost and runway'!K19),"")</f>
      </c>
    </row>
    <row r="171">
      <c r="A171" t="inlineStr" s="16">
        <is>
          <t xml:space="preserve">Calculation</t>
        </is>
      </c>
      <c r="B171">
        <f>IF(IF(DATE(2027,9,1)=EDATE('Model inputs'!Q21,'Model inputs'!Q18-1*1)="",FALSE,DATE(2027,9,1)=EDATE('Model inputs'!Q21,'Model inputs'!Q18-1*1)),IF('Monthly revenue cost and runway'!L19="","",'Monthly revenue cost and runway'!L19),"")</f>
      </c>
    </row>
    <row r="172">
      <c r="A172" t="inlineStr" s="16">
        <is>
          <t xml:space="preserve">Calculation</t>
        </is>
      </c>
      <c r="B172">
        <f>IF(IF(DATE(2027,10,1)=EDATE('Model inputs'!Q21,'Model inputs'!Q18-1*1)="",FALSE,DATE(2027,10,1)=EDATE('Model inputs'!Q21,'Model inputs'!Q18-1*1)),IF('Monthly revenue cost and runway'!M19="","",'Monthly revenue cost and runway'!M19),"")</f>
      </c>
    </row>
    <row r="173">
      <c r="A173" t="inlineStr" s="16">
        <is>
          <t xml:space="preserve">Calculation</t>
        </is>
      </c>
      <c r="B173">
        <f>IF(IF(DATE(2026,9,1)=EDATE('Model inputs'!Q21,'Model inputs'!Q18-1*1)="",FALSE,DATE(2026,9,1)=EDATE('Model inputs'!Q21,'Model inputs'!Q18-1*1)),IF('Model inputs'!C16="","",'Model inputs'!C16),"")</f>
      </c>
    </row>
    <row r="174">
      <c r="A174" t="inlineStr" s="16">
        <is>
          <t xml:space="preserve">Calculation</t>
        </is>
      </c>
      <c r="B174">
        <f>IF(IF(DATE(2026,10,1)=EDATE('Model inputs'!Q21,'Model inputs'!Q18-1*1)="",FALSE,DATE(2026,10,1)=EDATE('Model inputs'!Q21,'Model inputs'!Q18-1*1)),IF('Model inputs'!D16="","",'Model inputs'!D16),"")</f>
      </c>
    </row>
    <row r="175">
      <c r="A175" t="inlineStr" s="16">
        <is>
          <t xml:space="preserve">Calculation</t>
        </is>
      </c>
      <c r="B175">
        <f>IF(IF(DATE(2026,10,1)=EDATE('Model inputs'!Q23,'Model inputs'!Q20-1*1)="",FALSE,DATE(2026,10,1)=EDATE('Model inputs'!Q23,'Model inputs'!Q20-1*1)),IF('Model inputs'!D17="","",'Model inputs'!D17),"")</f>
      </c>
    </row>
    <row r="176">
      <c r="A176" t="inlineStr" s="16">
        <is>
          <t xml:space="preserve">Calculation</t>
        </is>
      </c>
      <c r="B176">
        <f>IF(IF(DATE(2026,11,1)=EDATE('Model inputs'!Q23,'Model inputs'!Q20-1*1)="",FALSE,DATE(2026,11,1)=EDATE('Model inputs'!Q23,'Model inputs'!Q20-1*1)),IF('Model inputs'!E17="","",'Model inputs'!E17),"")</f>
      </c>
    </row>
    <row r="177">
      <c r="A177" t="inlineStr" s="16">
        <is>
          <t xml:space="preserve">Calculation</t>
        </is>
      </c>
      <c r="B177">
        <f>IF(IF(DATE(2026,12,1)=EDATE('Model inputs'!Q23,'Model inputs'!Q20-1*1)="",FALSE,DATE(2026,12,1)=EDATE('Model inputs'!Q23,'Model inputs'!Q20-1*1)),IF('Model inputs'!F17="","",'Model inputs'!F17),"")</f>
      </c>
    </row>
    <row r="178">
      <c r="A178" t="inlineStr" s="16">
        <is>
          <t xml:space="preserve">Calculation</t>
        </is>
      </c>
      <c r="B178">
        <f>IF(IF(DATE(2027,1,1)=EDATE('Model inputs'!Q23,'Model inputs'!Q20-1*1)="",FALSE,DATE(2027,1,1)=EDATE('Model inputs'!Q23,'Model inputs'!Q20-1*1)),IF('Model inputs'!G17="","",'Model inputs'!G17),"")</f>
      </c>
    </row>
    <row r="179">
      <c r="A179" t="inlineStr" s="16">
        <is>
          <t xml:space="preserve">Calculation</t>
        </is>
      </c>
      <c r="B179">
        <f>IF(IF(DATE(2027,2,1)=EDATE('Model inputs'!Q23,'Model inputs'!Q20-1*1)="",FALSE,DATE(2027,2,1)=EDATE('Model inputs'!Q23,'Model inputs'!Q20-1*1)),IF('Model inputs'!H17="","",'Model inputs'!H17),"")</f>
      </c>
    </row>
    <row r="180">
      <c r="A180" t="inlineStr" s="16">
        <is>
          <t xml:space="preserve">Calculation</t>
        </is>
      </c>
      <c r="B180">
        <f>IF(IF(DATE(2027,3,1)=EDATE('Model inputs'!Q23,'Model inputs'!Q20-1*1)="",FALSE,DATE(2027,3,1)=EDATE('Model inputs'!Q23,'Model inputs'!Q20-1*1)),IF('Model inputs'!I17="","",'Model inputs'!I17),"")</f>
      </c>
    </row>
    <row r="181">
      <c r="A181" t="inlineStr" s="16">
        <is>
          <t xml:space="preserve">Calculation</t>
        </is>
      </c>
      <c r="B181">
        <f>IF(IF(DATE(2027,4,1)=EDATE('Model inputs'!Q23,'Model inputs'!Q20-1*1)="",FALSE,DATE(2027,4,1)=EDATE('Model inputs'!Q23,'Model inputs'!Q20-1*1)),IF('Model inputs'!J17="","",'Model inputs'!J17),"")</f>
      </c>
    </row>
    <row r="182">
      <c r="A182" t="inlineStr" s="16">
        <is>
          <t xml:space="preserve">Calculation</t>
        </is>
      </c>
      <c r="B182">
        <f>IF(IF(DATE(2027,5,1)=EDATE('Model inputs'!Q23,'Model inputs'!Q20-1*1)="",FALSE,DATE(2027,5,1)=EDATE('Model inputs'!Q23,'Model inputs'!Q20-1*1)),IF('Model inputs'!K17="","",'Model inputs'!K17),"")</f>
      </c>
    </row>
    <row r="183">
      <c r="A183" t="inlineStr" s="16">
        <is>
          <t xml:space="preserve">Calculation</t>
        </is>
      </c>
      <c r="B183">
        <f>IF(IF(DATE(2027,6,1)=EDATE('Model inputs'!Q23,'Model inputs'!Q20-1*1)="",FALSE,DATE(2027,6,1)=EDATE('Model inputs'!Q23,'Model inputs'!Q20-1*1)),IF('Model inputs'!L17="","",'Model inputs'!L17),"")</f>
      </c>
    </row>
    <row r="184">
      <c r="A184" t="inlineStr" s="16">
        <is>
          <t xml:space="preserve">Calculation</t>
        </is>
      </c>
      <c r="B184">
        <f>IF(IF(DATE(2027,7,1)=EDATE('Model inputs'!Q23,'Model inputs'!Q20-1*1)="",FALSE,DATE(2027,7,1)=EDATE('Model inputs'!Q23,'Model inputs'!Q20-1*1)),IF('Model inputs'!M17="","",'Model inputs'!M17),"")</f>
      </c>
    </row>
    <row r="185">
      <c r="A185" t="inlineStr" s="16">
        <is>
          <t xml:space="preserve">Calculation</t>
        </is>
      </c>
      <c r="B185">
        <f>IF(IF(DATE(2027,8,1)=EDATE('Model inputs'!Q23,'Model inputs'!Q20-1*1)="",FALSE,DATE(2027,8,1)=EDATE('Model inputs'!Q23,'Model inputs'!Q20-1*1)),IF('Model inputs'!N17="","",'Model inputs'!N17),"")</f>
      </c>
    </row>
    <row r="186">
      <c r="A186" t="inlineStr" s="16">
        <is>
          <t xml:space="preserve">Calculation</t>
        </is>
      </c>
      <c r="B186">
        <f>IF(IF(DATE(2027,9,1)=EDATE('Model inputs'!Q23,'Model inputs'!Q20-1*1)="",FALSE,DATE(2027,9,1)=EDATE('Model inputs'!Q23,'Model inputs'!Q20-1*1)),IF('Model inputs'!O17="","",'Model inputs'!O17),"")</f>
      </c>
    </row>
    <row r="187">
      <c r="A187" t="inlineStr" s="16">
        <is>
          <t xml:space="preserve">Calculation</t>
        </is>
      </c>
      <c r="B187">
        <f>IF(IF(DATE(2027,10,1)=EDATE('Model inputs'!Q23,'Model inputs'!Q20-1*1)="",FALSE,DATE(2027,10,1)=EDATE('Model inputs'!Q23,'Model inputs'!Q20-1*1)),IF('Model inputs'!P17="","",'Model inputs'!P17),"")</f>
      </c>
    </row>
    <row r="188">
      <c r="A188" t="inlineStr" s="16">
        <is>
          <t xml:space="preserve">Calculation</t>
        </is>
      </c>
      <c r="B188">
        <f>IF(IF(DATE(2026,9,1)=EDATE('Model inputs'!Q23,'Model inputs'!Q20-1*1)="",FALSE,DATE(2026,9,1)=EDATE('Model inputs'!Q23,'Model inputs'!Q20-1*1)),IF('Model inputs'!C77="","",'Model inputs'!C77),"")</f>
      </c>
    </row>
    <row r="189">
      <c r="A189" t="inlineStr" s="16">
        <is>
          <t xml:space="preserve">Calculation</t>
        </is>
      </c>
      <c r="B189">
        <f>IF(IF(DATE(2026,11,1)=EDATE('Model inputs'!Q21,'Model inputs'!Q18-1*1)="",FALSE,DATE(2026,11,1)=EDATE('Model inputs'!Q21,'Model inputs'!Q18-1*1)),IF('Monthly revenue cost and runway'!B20="","",'Monthly revenue cost and runway'!B20),"")</f>
      </c>
    </row>
    <row r="190">
      <c r="A190" t="inlineStr" s="16">
        <is>
          <t xml:space="preserve">Calculation</t>
        </is>
      </c>
      <c r="B190">
        <f>IF(IF(DATE(2026,12,1)=EDATE('Model inputs'!Q21,'Model inputs'!Q18-1*1)="",FALSE,DATE(2026,12,1)=EDATE('Model inputs'!Q21,'Model inputs'!Q18-1*1)),IF('Monthly revenue cost and runway'!C20="","",'Monthly revenue cost and runway'!C20),"")</f>
      </c>
    </row>
    <row r="191">
      <c r="A191" t="inlineStr" s="16">
        <is>
          <t xml:space="preserve">Calculation</t>
        </is>
      </c>
      <c r="B191">
        <f>IF(IF(DATE(2027,1,1)=EDATE('Model inputs'!Q21,'Model inputs'!Q18-1*1)="",FALSE,DATE(2027,1,1)=EDATE('Model inputs'!Q21,'Model inputs'!Q18-1*1)),IF('Monthly revenue cost and runway'!D20="","",'Monthly revenue cost and runway'!D20),"")</f>
      </c>
    </row>
    <row r="192">
      <c r="A192" t="inlineStr" s="16">
        <is>
          <t xml:space="preserve">Calculation</t>
        </is>
      </c>
      <c r="B192">
        <f>IF(IF(DATE(2027,2,1)=EDATE('Model inputs'!Q21,'Model inputs'!Q18-1*1)="",FALSE,DATE(2027,2,1)=EDATE('Model inputs'!Q21,'Model inputs'!Q18-1*1)),IF('Monthly revenue cost and runway'!E20="","",'Monthly revenue cost and runway'!E20),"")</f>
      </c>
    </row>
    <row r="193">
      <c r="A193" t="inlineStr" s="16">
        <is>
          <t xml:space="preserve">Calculation</t>
        </is>
      </c>
      <c r="B193">
        <f>IF(IF(DATE(2027,3,1)=EDATE('Model inputs'!Q21,'Model inputs'!Q18-1*1)="",FALSE,DATE(2027,3,1)=EDATE('Model inputs'!Q21,'Model inputs'!Q18-1*1)),IF('Monthly revenue cost and runway'!F20="","",'Monthly revenue cost and runway'!F20),"")</f>
      </c>
    </row>
    <row r="194">
      <c r="A194" t="inlineStr" s="16">
        <is>
          <t xml:space="preserve">Calculation</t>
        </is>
      </c>
      <c r="B194">
        <f>IF(IF(DATE(2027,4,1)=EDATE('Model inputs'!Q21,'Model inputs'!Q18-1*1)="",FALSE,DATE(2027,4,1)=EDATE('Model inputs'!Q21,'Model inputs'!Q18-1*1)),IF('Monthly revenue cost and runway'!G20="","",'Monthly revenue cost and runway'!G20),"")</f>
      </c>
    </row>
    <row r="195">
      <c r="A195" t="inlineStr" s="16">
        <is>
          <t xml:space="preserve">Calculation</t>
        </is>
      </c>
      <c r="B195">
        <f>IF(IF(DATE(2027,5,1)=EDATE('Model inputs'!Q21,'Model inputs'!Q18-1*1)="",FALSE,DATE(2027,5,1)=EDATE('Model inputs'!Q21,'Model inputs'!Q18-1*1)),IF('Monthly revenue cost and runway'!H20="","",'Monthly revenue cost and runway'!H20),"")</f>
      </c>
    </row>
    <row r="196">
      <c r="A196" t="inlineStr" s="16">
        <is>
          <t xml:space="preserve">Calculation</t>
        </is>
      </c>
      <c r="B196">
        <f>IF(IF(DATE(2027,6,1)=EDATE('Model inputs'!Q21,'Model inputs'!Q18-1*1)="",FALSE,DATE(2027,6,1)=EDATE('Model inputs'!Q21,'Model inputs'!Q18-1*1)),IF('Monthly revenue cost and runway'!I20="","",'Monthly revenue cost and runway'!I20),"")</f>
      </c>
    </row>
    <row r="197">
      <c r="A197" t="inlineStr" s="16">
        <is>
          <t xml:space="preserve">Calculation</t>
        </is>
      </c>
      <c r="B197">
        <f>IF(IF(DATE(2027,7,1)=EDATE('Model inputs'!Q21,'Model inputs'!Q18-1*1)="",FALSE,DATE(2027,7,1)=EDATE('Model inputs'!Q21,'Model inputs'!Q18-1*1)),IF('Monthly revenue cost and runway'!J20="","",'Monthly revenue cost and runway'!J20),"")</f>
      </c>
    </row>
    <row r="198">
      <c r="A198" t="inlineStr" s="16">
        <is>
          <t xml:space="preserve">Calculation</t>
        </is>
      </c>
      <c r="B198">
        <f>IF(IF(DATE(2027,8,1)=EDATE('Model inputs'!Q21,'Model inputs'!Q18-1*1)="",FALSE,DATE(2027,8,1)=EDATE('Model inputs'!Q21,'Model inputs'!Q18-1*1)),IF('Monthly revenue cost and runway'!K20="","",'Monthly revenue cost and runway'!K20),"")</f>
      </c>
    </row>
    <row r="199">
      <c r="A199" t="inlineStr" s="16">
        <is>
          <t xml:space="preserve">Calculation</t>
        </is>
      </c>
      <c r="B199">
        <f>IF(IF(DATE(2027,9,1)=EDATE('Model inputs'!Q21,'Model inputs'!Q18-1*1)="",FALSE,DATE(2027,9,1)=EDATE('Model inputs'!Q21,'Model inputs'!Q18-1*1)),IF('Monthly revenue cost and runway'!L20="","",'Monthly revenue cost and runway'!L20),"")</f>
      </c>
    </row>
    <row r="200">
      <c r="A200" t="inlineStr" s="16">
        <is>
          <t xml:space="preserve">Calculation</t>
        </is>
      </c>
      <c r="B200">
        <f>IF(IF(DATE(2027,10,1)=EDATE('Model inputs'!Q21,'Model inputs'!Q18-1*1)="",FALSE,DATE(2027,10,1)=EDATE('Model inputs'!Q21,'Model inputs'!Q18-1*1)),IF('Monthly revenue cost and runway'!M20="","",'Monthly revenue cost and runway'!M20),"")</f>
      </c>
    </row>
    <row r="201">
      <c r="A201" t="inlineStr" s="16">
        <is>
          <t xml:space="preserve">Calculation</t>
        </is>
      </c>
      <c r="B201">
        <f>IF(IF(DATE(2026,9,1)=EDATE('Model inputs'!Q21,'Model inputs'!Q18-1*1)="",FALSE,DATE(2026,9,1)=EDATE('Model inputs'!Q21,'Model inputs'!Q18-1*1)),IF('Model inputs'!C30="","",'Model inputs'!C30),"")</f>
      </c>
    </row>
    <row r="202">
      <c r="A202" t="inlineStr" s="16">
        <is>
          <t xml:space="preserve">Calculation</t>
        </is>
      </c>
      <c r="B202">
        <f>IF(IF(DATE(2026,10,1)=EDATE('Model inputs'!Q21,'Model inputs'!Q18-1*1)="",FALSE,DATE(2026,10,1)=EDATE('Model inputs'!Q21,'Model inputs'!Q18-1*1)),IF('Model inputs'!D30="","",'Model inputs'!D30),"")</f>
      </c>
    </row>
    <row r="203">
      <c r="A203" t="inlineStr" s="16">
        <is>
          <t xml:space="preserve">Calculation</t>
        </is>
      </c>
      <c r="B203">
        <f>IF(IF(DATE(2026,10,1)=EDATE('Model inputs'!Q23,'Model inputs'!Q20-1*1)="",FALSE,DATE(2026,10,1)=EDATE('Model inputs'!Q23,'Model inputs'!Q20-1*1)),IF('Model inputs'!D31="","",'Model inputs'!D31),"")</f>
      </c>
    </row>
    <row r="204">
      <c r="A204" t="inlineStr" s="16">
        <is>
          <t xml:space="preserve">Calculation</t>
        </is>
      </c>
      <c r="B204">
        <f>IF(IF(DATE(2026,11,1)=EDATE('Model inputs'!Q23,'Model inputs'!Q20-1*1)="",FALSE,DATE(2026,11,1)=EDATE('Model inputs'!Q23,'Model inputs'!Q20-1*1)),IF('Model inputs'!E31="","",'Model inputs'!E31),"")</f>
      </c>
    </row>
    <row r="205">
      <c r="A205" t="inlineStr" s="16">
        <is>
          <t xml:space="preserve">Calculation</t>
        </is>
      </c>
      <c r="B205">
        <f>IF(IF(DATE(2026,12,1)=EDATE('Model inputs'!Q23,'Model inputs'!Q20-1*1)="",FALSE,DATE(2026,12,1)=EDATE('Model inputs'!Q23,'Model inputs'!Q20-1*1)),IF('Model inputs'!F31="","",'Model inputs'!F31),"")</f>
      </c>
    </row>
    <row r="206">
      <c r="A206" t="inlineStr" s="16">
        <is>
          <t xml:space="preserve">Calculation</t>
        </is>
      </c>
      <c r="B206">
        <f>IF(IF(DATE(2027,1,1)=EDATE('Model inputs'!Q23,'Model inputs'!Q20-1*1)="",FALSE,DATE(2027,1,1)=EDATE('Model inputs'!Q23,'Model inputs'!Q20-1*1)),IF('Model inputs'!G31="","",'Model inputs'!G31),"")</f>
      </c>
    </row>
    <row r="207">
      <c r="A207" t="inlineStr" s="16">
        <is>
          <t xml:space="preserve">Calculation</t>
        </is>
      </c>
      <c r="B207">
        <f>IF(IF(DATE(2027,2,1)=EDATE('Model inputs'!Q23,'Model inputs'!Q20-1*1)="",FALSE,DATE(2027,2,1)=EDATE('Model inputs'!Q23,'Model inputs'!Q20-1*1)),IF('Model inputs'!H31="","",'Model inputs'!H31),"")</f>
      </c>
    </row>
    <row r="208">
      <c r="A208" t="inlineStr" s="16">
        <is>
          <t xml:space="preserve">Calculation</t>
        </is>
      </c>
      <c r="B208">
        <f>IF(IF(DATE(2027,3,1)=EDATE('Model inputs'!Q23,'Model inputs'!Q20-1*1)="",FALSE,DATE(2027,3,1)=EDATE('Model inputs'!Q23,'Model inputs'!Q20-1*1)),IF('Model inputs'!I31="","",'Model inputs'!I31),"")</f>
      </c>
    </row>
    <row r="209">
      <c r="A209" t="inlineStr" s="16">
        <is>
          <t xml:space="preserve">Calculation</t>
        </is>
      </c>
      <c r="B209">
        <f>IF(IF(DATE(2027,4,1)=EDATE('Model inputs'!Q23,'Model inputs'!Q20-1*1)="",FALSE,DATE(2027,4,1)=EDATE('Model inputs'!Q23,'Model inputs'!Q20-1*1)),IF('Model inputs'!J31="","",'Model inputs'!J31),"")</f>
      </c>
    </row>
    <row r="210">
      <c r="A210" t="inlineStr" s="16">
        <is>
          <t xml:space="preserve">Calculation</t>
        </is>
      </c>
      <c r="B210">
        <f>IF(IF(DATE(2027,5,1)=EDATE('Model inputs'!Q23,'Model inputs'!Q20-1*1)="",FALSE,DATE(2027,5,1)=EDATE('Model inputs'!Q23,'Model inputs'!Q20-1*1)),IF('Model inputs'!K31="","",'Model inputs'!K31),"")</f>
      </c>
    </row>
    <row r="211">
      <c r="A211" t="inlineStr" s="16">
        <is>
          <t xml:space="preserve">Calculation</t>
        </is>
      </c>
      <c r="B211">
        <f>IF(IF(DATE(2027,6,1)=EDATE('Model inputs'!Q23,'Model inputs'!Q20-1*1)="",FALSE,DATE(2027,6,1)=EDATE('Model inputs'!Q23,'Model inputs'!Q20-1*1)),IF('Model inputs'!L31="","",'Model inputs'!L31),"")</f>
      </c>
    </row>
    <row r="212">
      <c r="A212" t="inlineStr" s="16">
        <is>
          <t xml:space="preserve">Calculation</t>
        </is>
      </c>
      <c r="B212">
        <f>IF(IF(DATE(2027,7,1)=EDATE('Model inputs'!Q23,'Model inputs'!Q20-1*1)="",FALSE,DATE(2027,7,1)=EDATE('Model inputs'!Q23,'Model inputs'!Q20-1*1)),IF('Model inputs'!M31="","",'Model inputs'!M31),"")</f>
      </c>
    </row>
    <row r="213">
      <c r="A213" t="inlineStr" s="16">
        <is>
          <t xml:space="preserve">Calculation</t>
        </is>
      </c>
      <c r="B213">
        <f>IF(IF(DATE(2027,8,1)=EDATE('Model inputs'!Q23,'Model inputs'!Q20-1*1)="",FALSE,DATE(2027,8,1)=EDATE('Model inputs'!Q23,'Model inputs'!Q20-1*1)),IF('Model inputs'!N31="","",'Model inputs'!N31),"")</f>
      </c>
    </row>
    <row r="214">
      <c r="A214" t="inlineStr" s="16">
        <is>
          <t xml:space="preserve">Calculation</t>
        </is>
      </c>
      <c r="B214">
        <f>IF(IF(DATE(2027,9,1)=EDATE('Model inputs'!Q23,'Model inputs'!Q20-1*1)="",FALSE,DATE(2027,9,1)=EDATE('Model inputs'!Q23,'Model inputs'!Q20-1*1)),IF('Model inputs'!O31="","",'Model inputs'!O31),"")</f>
      </c>
    </row>
    <row r="215">
      <c r="A215" t="inlineStr" s="16">
        <is>
          <t xml:space="preserve">Calculation</t>
        </is>
      </c>
      <c r="B215">
        <f>IF(IF(DATE(2027,10,1)=EDATE('Model inputs'!Q23,'Model inputs'!Q20-1*1)="",FALSE,DATE(2027,10,1)=EDATE('Model inputs'!Q23,'Model inputs'!Q20-1*1)),IF('Model inputs'!P31="","",'Model inputs'!P31),"")</f>
      </c>
    </row>
    <row r="216">
      <c r="A216" t="inlineStr" s="16">
        <is>
          <t xml:space="preserve">Calculation</t>
        </is>
      </c>
      <c r="B216">
        <f>IF(IF(DATE(2026,9,1)=EDATE('Model inputs'!Q23,'Model inputs'!Q20-1*1)="",FALSE,DATE(2026,9,1)=EDATE('Model inputs'!Q23,'Model inputs'!Q20-1*1)),IF('Model inputs'!C86="","",'Model inputs'!C86),"")</f>
      </c>
    </row>
  </sheetData>
  <mergeCells count="2">
    <mergeCell ref="A1:Q1"/>
    <mergeCell ref="A2:Q2"/>
  </mergeCells>
</worksheet>
</file>