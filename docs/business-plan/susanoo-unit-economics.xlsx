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></Relationship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Run costs and fixed overhead" sheetId="1" r:id="rId1"/>
    <sheet name="Subscription assumptions" sheetId="2" r:id="rId2"/>
    <sheet name="Subscription economics" sheetId="3" r:id="rId3"/>
  </sheets>
  <calcPr calcMode="auto" fullCalcOnLoad="1" forceFullCalc="1"/>
</workbook>
</file>

<file path=xl/styles.xml><?xml version="1.0" encoding="utf-8"?>
<styleSheet xmlns="http://schemas.openxmlformats.org/spreadsheetml/2006/main">
  <numFmts count="5">
    <numFmt numFmtId="164" formatCode="#,##0.###;(#,##0.###)"/>
    <numFmt numFmtId="165" formatCode="&quot;$&quot;#,##0.00;(&quot;$&quot;#,##0.00)"/>
    <numFmt numFmtId="166" formatCode="0.0%"/>
    <numFmt numFmtId="167" formatCode="#,##0;(#,##0)"/>
    <numFmt numFmtId="168" formatCode="#,##0.0;(#,##0.0)"/>
  </numFmts>
  <fonts count="4">
    <font>
      <sz val="10"/>
      <color rgb="FF352F29"/>
      <name val="Aptos"/>
    </font>
    <font>
      <b/>
      <sz val="16"/>
      <color rgb="FFFFFFFF"/>
      <name val="Aptos"/>
    </font>
    <font>
      <sz val="9"/>
      <color rgb="FF817B73"/>
      <name val="Aptos"/>
    </font>
    <font>
      <b/>
      <sz val="10"/>
      <color rgb="FF352F29"/>
      <name val="Aptos"/>
    </font>
  </fonts>
  <fills count="5">
    <fill>
      <patternFill patternType="none"/>
    </fill>
    <fill>
      <patternFill patternType="gray125"/>
    </fill>
    <fill>
      <patternFill patternType="solid">
        <fgColor rgb="FF352F29"/>
        <bgColor indexed="64"/>
      </patternFill>
    </fill>
    <fill>
      <patternFill patternType="solid">
        <fgColor rgb="FFF0EDE8"/>
        <bgColor indexed="64"/>
      </patternFill>
    </fill>
    <fill>
      <patternFill patternType="solid">
        <fgColor rgb="FFF5F2EC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E7E3DD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ill="1" applyFont="1" applyAlignment="1">
      <alignment vertical="center" horizontal="left" indent="1"/>
    </xf>
    <xf numFmtId="0" fontId="2" fillId="0" borderId="0" xfId="0" applyFont="1"/>
    <xf numFmtId="0" fontId="3" fillId="3" borderId="1" xfId="0" applyFill="1" applyFont="1" applyBorder="1" applyAlignment="1">
      <alignment vertical="center" horizontal="left"/>
    </xf>
    <xf numFmtId="0" fontId="3" fillId="3" borderId="1" xfId="0" applyFill="1" applyFont="1" applyBorder="1" applyAlignment="1">
      <alignment vertical="center" horizontal="right"/>
    </xf>
    <xf numFmtId="0" fontId="3" fillId="4" borderId="1" xfId="0" applyFill="1" applyFont="1" applyBorder="1" applyAlignment="1">
      <alignment vertical="center" horizontal="left"/>
    </xf>
    <xf numFmtId="164" fontId="3" fillId="4" borderId="1" xfId="0" applyNumberFormat="1" applyFill="1" applyFont="1" applyBorder="1" applyAlignment="1">
      <alignment vertical="center" horizontal="right"/>
    </xf>
    <xf numFmtId="0" fontId="0" fillId="0" borderId="0" xfId="0" applyAlignment="1">
      <alignment vertical="center" horizontal="left"/>
    </xf>
    <xf numFmtId="164" fontId="0" fillId="0" borderId="0" xfId="0" applyNumberFormat="1" applyAlignment="1">
      <alignment vertical="center" horizontal="right"/>
    </xf>
    <xf numFmtId="165" fontId="3" fillId="4" borderId="1" xfId="0" applyNumberFormat="1" applyFill="1" applyFont="1" applyBorder="1" applyAlignment="1">
      <alignment vertical="center" horizontal="right"/>
    </xf>
    <xf numFmtId="165" fontId="0" fillId="0" borderId="0" xfId="0" applyNumberFormat="1" applyAlignment="1">
      <alignment vertical="center" horizontal="right"/>
    </xf>
    <xf numFmtId="166" fontId="3" fillId="4" borderId="1" xfId="0" applyNumberFormat="1" applyFill="1" applyFont="1" applyBorder="1" applyAlignment="1">
      <alignment vertical="center" horizontal="right"/>
    </xf>
    <xf numFmtId="167" fontId="3" fillId="4" borderId="1" xfId="0" applyNumberFormat="1" applyFill="1" applyFont="1" applyBorder="1" applyAlignment="1">
      <alignment vertical="center" horizontal="right"/>
    </xf>
    <xf numFmtId="168" fontId="3" fillId="4" borderId="1" xfId="0" applyNumberFormat="1" applyFill="1" applyFont="1" applyBorder="1" applyAlignment="1">
      <alignment vertical="center" horizontal="right"/>
    </xf>
    <xf numFmtId="166" fontId="0" fillId="0" borderId="0" xfId="0" applyNumberFormat="1" applyAlignment="1">
      <alignment vertical="center" horizontal="right"/>
    </xf>
    <xf numFmtId="167" fontId="0" fillId="0" borderId="0" xfId="0" applyNumberFormat="1" applyAlignment="1">
      <alignment vertical="center" horizontal="right"/>
    </xf>
    <xf numFmtId="168" fontId="0" fillId="0" borderId="0" xfId="0" applyNumberFormat="1" applyAlignment="1">
      <alignment vertical="center" horizontal="right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worksheet" Target="worksheets/sheet2.xml"></Relationship><Relationship Id="rId3" Type="http://schemas.openxmlformats.org/officeDocument/2006/relationships/worksheet" Target="worksheets/sheet3.xml"></Relationship><Relationship Id="rId4" Type="http://schemas.openxmlformats.org/officeDocument/2006/relationships/styles" Target="styles.xml"></Relationship></Relationships>
</file>

<file path=xl/worksheets/sheet1.xml><?xml version="1.0" encoding="utf-8"?>
<worksheet xmlns="http://schemas.openxmlformats.org/spreadsheetml/2006/main">
  <dimension ref="A1:B13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</cols>
  <sheetData>
    <row r="1" ht="32" customHeight="1">
      <c r="A1" t="inlineStr" s="1">
        <is>
          <t xml:space="preserve">Run costs and fixed overhead</t>
        </is>
      </c>
    </row>
    <row r="2" ht="20" customHeight="1">
      <c r="A2" t="inlineStr" s="2">
        <is>
          <t xml:space="preserve">Susanoo — Unit Economics · Main Scenario</t>
        </is>
      </c>
    </row>
    <row r="4" ht="22" customHeight="1">
      <c r="A4" t="inlineStr" s="3">
        <is>
          <t xml:space="preserve">Variable / dimension</t>
        </is>
      </c>
      <c r="B4" t="inlineStr" s="4">
        <is>
          <t xml:space="preserve">Value</t>
        </is>
      </c>
    </row>
    <row r="5">
      <c r="A5" t="inlineStr" s="5">
        <is>
          <t xml:space="preserve">Model cost per run</t>
        </is>
      </c>
      <c r="B5" s="6">
        <f>1.5</f>
        <v>1.5</v>
      </c>
    </row>
    <row r="6">
      <c r="A6" t="inlineStr" s="7">
        <is>
          <t xml:space="preserve">Sandbox cost per run</t>
        </is>
      </c>
      <c r="B6" s="8">
        <f>0.05</f>
        <v>0.05</v>
      </c>
    </row>
    <row r="7">
      <c r="A7" t="inlineStr" s="7">
        <is>
          <t xml:space="preserve">Total cost per run</t>
        </is>
      </c>
      <c r="B7" s="8">
        <f>'Run costs and fixed overhead'!B5+'Run costs and fixed overhead'!B6</f>
        <v>1.55</v>
      </c>
    </row>
    <row r="8">
      <c r="A8" t="inlineStr" s="7">
        <is>
          <t xml:space="preserve">EC2 monthly cost</t>
        </is>
      </c>
      <c r="B8" s="8">
        <f>68</f>
        <v>68</v>
      </c>
    </row>
    <row r="9">
      <c r="A9" t="inlineStr" s="7">
        <is>
          <t xml:space="preserve">Supabase monthly cost</t>
        </is>
      </c>
      <c r="B9" s="8">
        <f>20</f>
        <v>20</v>
      </c>
    </row>
    <row r="10">
      <c r="A10" t="inlineStr" s="7">
        <is>
          <t xml:space="preserve">Vercel monthly cost</t>
        </is>
      </c>
      <c r="B10" s="8">
        <f>0</f>
        <v>0</v>
      </c>
    </row>
    <row r="11">
      <c r="A11" t="inlineStr" s="7">
        <is>
          <t xml:space="preserve">Domain and Cloudflare monthly cost</t>
        </is>
      </c>
      <c r="B11" s="8">
        <f>1</f>
        <v>1</v>
      </c>
    </row>
    <row r="12">
      <c r="A12" t="inlineStr" s="7">
        <is>
          <t xml:space="preserve">neatlogs and Entire monthly cost</t>
        </is>
      </c>
      <c r="B12" s="8">
        <f>0</f>
        <v>0</v>
      </c>
    </row>
    <row r="13">
      <c r="A13" t="inlineStr" s="5">
        <is>
          <t xml:space="preserve">Fixed monthly overhead</t>
        </is>
      </c>
      <c r="B13" s="6">
        <f>'Run costs and fixed overhead'!B8+'Run costs and fixed overhead'!B9+'Run costs and fixed overhead'!B10+'Run costs and fixed overhead'!B11+'Run costs and fixed overhead'!B12</f>
        <v>89</v>
      </c>
    </row>
  </sheetData>
  <mergeCells count="1">
    <mergeCell ref="A1:B1"/>
  </mergeCells>
</worksheet>
</file>

<file path=xl/worksheets/sheet2.xml><?xml version="1.0" encoding="utf-8"?>
<worksheet xmlns="http://schemas.openxmlformats.org/spreadsheetml/2006/main">
  <dimension ref="A1:D7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  <col min="3" max="3" width="19" customWidth="1"/>
    <col min="4" max="4" width="19" customWidth="1"/>
  </cols>
  <sheetData>
    <row r="1" ht="32" customHeight="1">
      <c r="A1" t="inlineStr" s="1">
        <is>
          <t xml:space="preserve">Subscription assumptions</t>
        </is>
      </c>
    </row>
    <row r="2" ht="20" customHeight="1">
      <c r="A2" t="inlineStr" s="2">
        <is>
          <t xml:space="preserve">Susanoo — Unit Economics · Main Scenario</t>
        </is>
      </c>
    </row>
    <row r="4" ht="22" customHeight="1">
      <c r="A4" t="inlineStr" s="3">
        <is>
          <t xml:space="preserve">Variable / dimension</t>
        </is>
      </c>
      <c r="B4" t="inlineStr" s="4">
        <is>
          <t xml:space="preserve">Monthly subscription price</t>
        </is>
      </c>
      <c r="C4" t="inlineStr" s="4">
        <is>
          <t xml:space="preserve">Expected monthly runs</t>
        </is>
      </c>
      <c r="D4" t="inlineStr" s="4">
        <is>
          <t xml:space="preserve">Extra run price</t>
        </is>
      </c>
    </row>
    <row r="5">
      <c r="A5" t="inlineStr" s="5">
        <is>
          <t xml:space="preserve">Free</t>
        </is>
      </c>
      <c r="B5" s="9">
        <f>0</f>
        <v>0</v>
      </c>
      <c r="C5" s="6">
        <f>2</f>
        <v>2</v>
      </c>
      <c r="D5" t="str" s="9">
        <f>""</f>
        <v/>
      </c>
    </row>
    <row r="6">
      <c r="A6" t="inlineStr" s="7">
        <is>
          <t xml:space="preserve">Team</t>
        </is>
      </c>
      <c r="B6" s="10">
        <f>79</f>
        <v>79</v>
      </c>
      <c r="C6" s="8">
        <f>12</f>
        <v>12</v>
      </c>
      <c r="D6" s="10">
        <f>4</f>
        <v>4</v>
      </c>
    </row>
    <row r="7">
      <c r="A7" t="inlineStr" s="5">
        <is>
          <t xml:space="preserve">Enterprise</t>
        </is>
      </c>
      <c r="B7" s="9">
        <f>1500</f>
        <v>1500</v>
      </c>
      <c r="C7" s="6">
        <f>100</f>
        <v>100</v>
      </c>
      <c r="D7" t="str" s="9">
        <f>""</f>
        <v/>
      </c>
    </row>
  </sheetData>
  <mergeCells count="1">
    <mergeCell ref="A1:D1"/>
  </mergeCells>
</worksheet>
</file>

<file path=xl/worksheets/sheet3.xml><?xml version="1.0" encoding="utf-8"?>
<worksheet xmlns="http://schemas.openxmlformats.org/spreadsheetml/2006/main">
  <dimension ref="A1:H7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  <col min="3" max="3" width="19" customWidth="1"/>
    <col min="4" max="4" width="19" customWidth="1"/>
    <col min="5" max="5" width="19" customWidth="1"/>
    <col min="6" max="6" width="19" customWidth="1"/>
    <col min="7" max="7" width="19" customWidth="1"/>
    <col min="8" max="8" width="19" customWidth="1"/>
  </cols>
  <sheetData>
    <row r="1" ht="32" customHeight="1">
      <c r="A1" t="inlineStr" s="1">
        <is>
          <t xml:space="preserve">Subscription economics</t>
        </is>
      </c>
    </row>
    <row r="2" ht="20" customHeight="1">
      <c r="A2" t="inlineStr" s="2">
        <is>
          <t xml:space="preserve">Susanoo — Unit Economics · Main Scenario</t>
        </is>
      </c>
    </row>
    <row r="4" ht="22" customHeight="1">
      <c r="A4" t="inlineStr" s="3">
        <is>
          <t xml:space="preserve">Variable / dimension</t>
        </is>
      </c>
      <c r="B4" t="inlineStr" s="4">
        <is>
          <t xml:space="preserve">Monthly subscription price</t>
        </is>
      </c>
      <c r="C4" t="inlineStr" s="4">
        <is>
          <t xml:space="preserve">Expected monthly runs</t>
        </is>
      </c>
      <c r="D4" t="inlineStr" s="4">
        <is>
          <t xml:space="preserve">Monthly customer run cost</t>
        </is>
      </c>
      <c r="E4" t="inlineStr" s="4">
        <is>
          <t xml:space="preserve">Monthly customer contribution</t>
        </is>
      </c>
      <c r="F4" t="inlineStr" s="4">
        <is>
          <t xml:space="preserve">Run-cost gross margin</t>
        </is>
      </c>
      <c r="G4" t="inlineStr" s="4">
        <is>
          <t xml:space="preserve">Customers to cover fixed overhead</t>
        </is>
      </c>
      <c r="H4" t="inlineStr" s="4">
        <is>
          <t xml:space="preserve">Free users funded per paid customer</t>
        </is>
      </c>
    </row>
    <row r="5">
      <c r="A5" t="inlineStr" s="5">
        <is>
          <t xml:space="preserve">Enterprise</t>
        </is>
      </c>
      <c r="B5" s="9">
        <f>'Subscription assumptions'!B7</f>
        <v>1500</v>
      </c>
      <c r="C5" s="6">
        <f>'Subscription assumptions'!C7</f>
        <v>100</v>
      </c>
      <c r="D5" s="9">
        <f>'Subscription economics'!C5*'Run costs and fixed overhead'!B7</f>
        <v>155</v>
      </c>
      <c r="E5" s="9">
        <f>'Subscription economics'!B5-'Subscription economics'!D5</f>
        <v>1345</v>
      </c>
      <c r="F5" s="11">
        <f>IF(IF(IF(ISERROR('Subscription economics'!B5&gt;0),'Subscription economics'!B5&gt;0,IF('Subscription economics'!B5="","",'Subscription economics'!B5&gt;0))="",FALSE,IF(ISERROR('Subscription economics'!B5&gt;0),'Subscription economics'!B5&gt;0,IF('Subscription economics'!B5="","",'Subscription economics'!B5&gt;0))),'Subscription economics'!E5/'Subscription economics'!B5,"")</f>
        <v>0.8966666666666666</v>
      </c>
      <c r="G5" s="12">
        <f>IF(IF(IF(ISERROR('Subscription economics'!E5&gt;0),'Subscription economics'!E5&gt;0,IF('Subscription economics'!E5="","",'Subscription economics'!E5&gt;0))="",FALSE,IF(ISERROR('Subscription economics'!E5&gt;0),'Subscription economics'!E5&gt;0,IF('Subscription economics'!E5="","",'Subscription economics'!E5&gt;0))),CEILING('Run costs and fixed overhead'!B13/'Subscription economics'!E5,1),"")</f>
        <v>1</v>
      </c>
      <c r="H5" s="13">
        <f>IF(IF(IF(ISERROR('Subscription economics'!E5&gt;0),'Subscription economics'!E5&gt;0,IF('Subscription economics'!E5="","",'Subscription economics'!E5&gt;0))="",FALSE,IF(ISERROR('Subscription economics'!E5&gt;0),'Subscription economics'!E5&gt;0,IF('Subscription economics'!E5="","",'Subscription economics'!E5&gt;0))),'Subscription economics'!E5/'Subscription economics'!D6,"")</f>
        <v>433.8709677419355</v>
      </c>
    </row>
    <row r="6">
      <c r="A6" t="inlineStr" s="7">
        <is>
          <t xml:space="preserve">Free</t>
        </is>
      </c>
      <c r="B6" s="10">
        <f>'Subscription assumptions'!B5</f>
        <v>0</v>
      </c>
      <c r="C6" s="8">
        <f>'Subscription assumptions'!C5</f>
        <v>2</v>
      </c>
      <c r="D6" s="10">
        <f>'Subscription economics'!C6*'Run costs and fixed overhead'!B7</f>
        <v>3.1</v>
      </c>
      <c r="E6" s="10">
        <f>'Subscription economics'!B6-'Subscription economics'!D6</f>
        <v>-3.1</v>
      </c>
      <c r="F6" t="str" s="14">
        <f>IF(IF(IF(ISERROR('Subscription economics'!B6&gt;0),'Subscription economics'!B6&gt;0,IF('Subscription economics'!B6="","",'Subscription economics'!B6&gt;0))="",FALSE,IF(ISERROR('Subscription economics'!B6&gt;0),'Subscription economics'!B6&gt;0,IF('Subscription economics'!B6="","",'Subscription economics'!B6&gt;0))),'Subscription economics'!E6/'Subscription economics'!B6,"")</f>
        <v/>
      </c>
      <c r="G6" t="str" s="15">
        <f>IF(IF(IF(ISERROR('Subscription economics'!E6&gt;0),'Subscription economics'!E6&gt;0,IF('Subscription economics'!E6="","",'Subscription economics'!E6&gt;0))="",FALSE,IF(ISERROR('Subscription economics'!E6&gt;0),'Subscription economics'!E6&gt;0,IF('Subscription economics'!E6="","",'Subscription economics'!E6&gt;0))),CEILING('Run costs and fixed overhead'!B13/'Subscription economics'!E6,1),"")</f>
        <v/>
      </c>
      <c r="H6" t="str" s="16">
        <f>IF(IF(IF(ISERROR('Subscription economics'!E6&gt;0),'Subscription economics'!E6&gt;0,IF('Subscription economics'!E6="","",'Subscription economics'!E6&gt;0))="",FALSE,IF(ISERROR('Subscription economics'!E6&gt;0),'Subscription economics'!E6&gt;0,IF('Subscription economics'!E6="","",'Subscription economics'!E6&gt;0))),'Subscription economics'!E6/'Subscription economics'!D6,"")</f>
        <v/>
      </c>
    </row>
    <row r="7">
      <c r="A7" t="inlineStr" s="5">
        <is>
          <t xml:space="preserve">Team</t>
        </is>
      </c>
      <c r="B7" s="9">
        <f>'Subscription assumptions'!B6</f>
        <v>79</v>
      </c>
      <c r="C7" s="6">
        <f>'Subscription assumptions'!C6</f>
        <v>12</v>
      </c>
      <c r="D7" s="9">
        <f>'Subscription economics'!C7*'Run costs and fixed overhead'!B7</f>
        <v>18.6</v>
      </c>
      <c r="E7" s="9">
        <f>'Subscription economics'!B7-'Subscription economics'!D7</f>
        <v>60.4</v>
      </c>
      <c r="F7" s="11">
        <f>IF(IF(IF(ISERROR('Subscription economics'!B7&gt;0),'Subscription economics'!B7&gt;0,IF('Subscription economics'!B7="","",'Subscription economics'!B7&gt;0))="",FALSE,IF(ISERROR('Subscription economics'!B7&gt;0),'Subscription economics'!B7&gt;0,IF('Subscription economics'!B7="","",'Subscription economics'!B7&gt;0))),'Subscription economics'!E7/'Subscription economics'!B7,"")</f>
        <v>0.7645569620253164</v>
      </c>
      <c r="G7" s="12">
        <f>IF(IF(IF(ISERROR('Subscription economics'!E7&gt;0),'Subscription economics'!E7&gt;0,IF('Subscription economics'!E7="","",'Subscription economics'!E7&gt;0))="",FALSE,IF(ISERROR('Subscription economics'!E7&gt;0),'Subscription economics'!E7&gt;0,IF('Subscription economics'!E7="","",'Subscription economics'!E7&gt;0))),CEILING('Run costs and fixed overhead'!B13/'Subscription economics'!E7,1),"")</f>
        <v>2</v>
      </c>
      <c r="H7" s="13">
        <f>IF(IF(IF(ISERROR('Subscription economics'!E7&gt;0),'Subscription economics'!E7&gt;0,IF('Subscription economics'!E7="","",'Subscription economics'!E7&gt;0))="",FALSE,IF(ISERROR('Subscription economics'!E7&gt;0),'Subscription economics'!E7&gt;0,IF('Subscription economics'!E7="","",'Subscription economics'!E7&gt;0))),'Subscription economics'!E7/'Subscription economics'!D6,"")</f>
        <v>19.483870967741936</v>
      </c>
    </row>
  </sheetData>
  <mergeCells count="1">
    <mergeCell ref="A1:H1"/>
  </mergeCells>
</worksheet>
</file>